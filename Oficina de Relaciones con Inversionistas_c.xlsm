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5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6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a2b4d56148715ad/Projects/investor-relations-tool/"/>
    </mc:Choice>
  </mc:AlternateContent>
  <xr:revisionPtr revIDLastSave="375" documentId="14_{C5D2F7DA-9F5E-40F8-B57C-0E21D7FBF06E}" xr6:coauthVersionLast="47" xr6:coauthVersionMax="47" xr10:uidLastSave="{11E847BF-0893-4B5A-A880-4FF3E0800DB2}"/>
  <bookViews>
    <workbookView xWindow="-23148" yWindow="-6612" windowWidth="23256" windowHeight="12456" tabRatio="731" xr2:uid="{00000000-000D-0000-FFFF-FFFF00000000}"/>
  </bookViews>
  <sheets>
    <sheet name="start" sheetId="1" r:id="rId1"/>
    <sheet name="Welcome_admin" sheetId="22" r:id="rId2"/>
    <sheet name="Welcome" sheetId="53" r:id="rId3"/>
    <sheet name="reports" sheetId="29" r:id="rId4"/>
    <sheet name="correos" sheetId="49" r:id="rId5"/>
    <sheet name="subastas" sheetId="50" r:id="rId6"/>
    <sheet name="Internacionales" sheetId="51" r:id="rId7"/>
    <sheet name="Letras" sheetId="38" r:id="rId8"/>
    <sheet name="status" sheetId="58" r:id="rId9"/>
    <sheet name="Bonos" sheetId="39" r:id="rId10"/>
    <sheet name="survey_ES_2" sheetId="47" r:id="rId11"/>
    <sheet name="survey_EN_2" sheetId="48" r:id="rId12"/>
    <sheet name="eggap" sheetId="57" r:id="rId13"/>
    <sheet name="ratings" sheetId="40" r:id="rId14"/>
    <sheet name="ratings_data" sheetId="41" r:id="rId15"/>
    <sheet name="reportes" sheetId="36" state="hidden" r:id="rId16"/>
    <sheet name="letras_results" sheetId="19" r:id="rId17"/>
    <sheet name="bonos_data" sheetId="20" r:id="rId18"/>
    <sheet name="users" sheetId="18" r:id="rId19"/>
    <sheet name="reglogin" sheetId="7" r:id="rId20"/>
  </sheets>
  <definedNames>
    <definedName name="_xlnm._FilterDatabase" localSheetId="9" hidden="1">Bonos!$A$1:$I$1000</definedName>
    <definedName name="_xlnm._FilterDatabase" localSheetId="4" hidden="1">correos!$A$1:$H$1456</definedName>
    <definedName name="_xlnm._FilterDatabase" localSheetId="12" hidden="1">eggap!$A$2:$G$320</definedName>
    <definedName name="_xlnm._FilterDatabase" localSheetId="7" hidden="1">Letras!$A$1:$H$1001</definedName>
    <definedName name="_xlnm._FilterDatabase" localSheetId="10" hidden="1">survey_ES_2!$A$2:$F$1056</definedName>
    <definedName name="start_display">start!$A$1:$S$35</definedName>
    <definedName name="start_range">start!$A$1:$Q$35</definedName>
    <definedName name="welcome_admin_display" localSheetId="2">Welcome!$A$1:$W$35</definedName>
    <definedName name="welcome_admin_display">Welcome_admin!$A$1:$W$35</definedName>
    <definedName name="welcome_admin_screen" localSheetId="2">Welcome!$A$1:$W$35</definedName>
    <definedName name="welcome_admin_screen">Welcome_admin!$A$1:$W$35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40" l="1"/>
  <c r="G13" i="40"/>
  <c r="H13" i="40"/>
  <c r="J13" i="40"/>
  <c r="K13" i="40"/>
  <c r="L13" i="40"/>
  <c r="N13" i="40"/>
  <c r="O13" i="40"/>
  <c r="P13" i="40"/>
  <c r="J18" i="40"/>
  <c r="K18" i="40"/>
  <c r="L18" i="40"/>
  <c r="H266" i="38" l="1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I207" i="39"/>
  <c r="I208" i="39"/>
  <c r="I209" i="39"/>
  <c r="I210" i="39"/>
  <c r="I211" i="39"/>
  <c r="I212" i="39"/>
  <c r="I213" i="39"/>
  <c r="I214" i="39"/>
  <c r="I215" i="39"/>
  <c r="I216" i="39"/>
  <c r="I217" i="39"/>
  <c r="I218" i="39"/>
  <c r="I219" i="39"/>
  <c r="I220" i="39"/>
  <c r="I221" i="39"/>
  <c r="I222" i="39"/>
  <c r="I223" i="39"/>
  <c r="I224" i="39"/>
  <c r="I225" i="39"/>
  <c r="I226" i="39"/>
  <c r="I227" i="39"/>
  <c r="I228" i="39"/>
  <c r="I229" i="39"/>
  <c r="I230" i="39"/>
  <c r="I231" i="39"/>
  <c r="I232" i="39"/>
  <c r="I233" i="39"/>
  <c r="I234" i="39"/>
  <c r="I235" i="39"/>
  <c r="I236" i="39"/>
  <c r="I237" i="39"/>
  <c r="I238" i="39"/>
  <c r="I239" i="39"/>
  <c r="I240" i="39"/>
  <c r="I241" i="39"/>
  <c r="I242" i="39"/>
  <c r="I243" i="39"/>
  <c r="I244" i="39"/>
  <c r="I245" i="39"/>
  <c r="I246" i="39"/>
  <c r="I247" i="39"/>
  <c r="I248" i="39"/>
  <c r="I249" i="39"/>
  <c r="I250" i="39"/>
  <c r="I251" i="39"/>
  <c r="I252" i="39"/>
  <c r="I253" i="39"/>
  <c r="I254" i="39"/>
  <c r="I255" i="39"/>
  <c r="I256" i="39"/>
  <c r="I257" i="39"/>
  <c r="I258" i="39"/>
  <c r="I259" i="39"/>
  <c r="I260" i="39"/>
  <c r="I261" i="39"/>
  <c r="I262" i="39"/>
  <c r="I263" i="39"/>
  <c r="I264" i="39"/>
  <c r="I265" i="39"/>
  <c r="I266" i="39"/>
  <c r="I267" i="39"/>
  <c r="I268" i="39"/>
  <c r="I269" i="39"/>
  <c r="I270" i="39"/>
  <c r="I271" i="39"/>
  <c r="I272" i="39"/>
  <c r="I273" i="39"/>
  <c r="I274" i="39"/>
  <c r="I275" i="39"/>
  <c r="I276" i="39"/>
  <c r="I277" i="39"/>
  <c r="I278" i="39"/>
  <c r="I279" i="39"/>
  <c r="I280" i="39"/>
  <c r="I281" i="39"/>
  <c r="I282" i="39"/>
  <c r="I283" i="39"/>
  <c r="I284" i="39"/>
  <c r="I285" i="39"/>
  <c r="I286" i="39"/>
  <c r="I287" i="39"/>
  <c r="I288" i="39"/>
  <c r="I289" i="39"/>
  <c r="I290" i="39"/>
  <c r="I291" i="39"/>
  <c r="I292" i="39"/>
  <c r="I293" i="39"/>
  <c r="I294" i="39"/>
  <c r="I295" i="39"/>
  <c r="I296" i="39"/>
  <c r="I297" i="39"/>
  <c r="I298" i="39"/>
  <c r="I299" i="39"/>
  <c r="I300" i="39"/>
  <c r="I301" i="39"/>
  <c r="I302" i="39"/>
  <c r="I303" i="39"/>
  <c r="I304" i="39"/>
  <c r="I305" i="39"/>
  <c r="I306" i="39"/>
  <c r="I307" i="39"/>
  <c r="I308" i="39"/>
  <c r="I309" i="39"/>
  <c r="I310" i="39"/>
  <c r="I311" i="39"/>
  <c r="I312" i="39"/>
  <c r="I313" i="39"/>
  <c r="I314" i="39"/>
  <c r="I315" i="39"/>
  <c r="I316" i="39"/>
  <c r="I317" i="39"/>
  <c r="I318" i="39"/>
  <c r="I319" i="39"/>
  <c r="I320" i="39"/>
  <c r="I321" i="39"/>
  <c r="I322" i="39"/>
  <c r="I323" i="39"/>
  <c r="I324" i="39"/>
  <c r="I325" i="39"/>
  <c r="I326" i="39"/>
  <c r="I327" i="39"/>
  <c r="I328" i="39"/>
  <c r="I329" i="39"/>
  <c r="I330" i="39"/>
  <c r="I331" i="39"/>
  <c r="I332" i="39"/>
  <c r="I333" i="39"/>
  <c r="I334" i="39"/>
  <c r="I335" i="39"/>
  <c r="I336" i="39"/>
  <c r="I337" i="39"/>
  <c r="I338" i="39"/>
  <c r="I339" i="39"/>
  <c r="I340" i="39"/>
  <c r="I341" i="39"/>
  <c r="I342" i="39"/>
  <c r="I343" i="39"/>
  <c r="I344" i="39"/>
  <c r="I345" i="39"/>
  <c r="I346" i="39"/>
  <c r="I347" i="39"/>
  <c r="I348" i="39"/>
  <c r="I349" i="39"/>
  <c r="I350" i="39"/>
  <c r="I351" i="39"/>
  <c r="I352" i="39"/>
  <c r="I353" i="39"/>
  <c r="I354" i="39"/>
  <c r="I355" i="39"/>
  <c r="I356" i="39"/>
  <c r="I357" i="39"/>
  <c r="I358" i="39"/>
  <c r="I359" i="39"/>
  <c r="I360" i="39"/>
  <c r="I361" i="39"/>
  <c r="I362" i="39"/>
  <c r="I363" i="39"/>
  <c r="I364" i="39"/>
  <c r="I365" i="39"/>
  <c r="I366" i="39"/>
  <c r="I367" i="39"/>
  <c r="I368" i="39"/>
  <c r="I369" i="39"/>
  <c r="I370" i="39"/>
  <c r="I371" i="39"/>
  <c r="I372" i="39"/>
  <c r="I373" i="39"/>
  <c r="I374" i="39"/>
  <c r="I375" i="39"/>
  <c r="I376" i="39"/>
  <c r="I377" i="39"/>
  <c r="I378" i="39"/>
  <c r="I379" i="39"/>
  <c r="I380" i="39"/>
  <c r="I381" i="39"/>
  <c r="I382" i="39"/>
  <c r="I383" i="39"/>
  <c r="I384" i="39"/>
  <c r="I385" i="39"/>
  <c r="I386" i="39"/>
  <c r="I387" i="39"/>
  <c r="I388" i="39"/>
  <c r="I389" i="39"/>
  <c r="I390" i="39"/>
  <c r="I391" i="39"/>
  <c r="I392" i="39"/>
  <c r="I393" i="39"/>
  <c r="I394" i="39"/>
  <c r="I395" i="39"/>
  <c r="I396" i="39"/>
  <c r="I397" i="39"/>
  <c r="I398" i="39"/>
  <c r="I399" i="39"/>
  <c r="I400" i="39"/>
  <c r="I401" i="39"/>
  <c r="I402" i="39"/>
  <c r="I403" i="39"/>
  <c r="I404" i="39"/>
  <c r="I405" i="39"/>
  <c r="I406" i="39"/>
  <c r="I407" i="39"/>
  <c r="I408" i="39"/>
  <c r="I409" i="39"/>
  <c r="I410" i="39"/>
  <c r="I411" i="39"/>
  <c r="I412" i="39"/>
  <c r="I413" i="39"/>
  <c r="I414" i="39"/>
  <c r="I415" i="39"/>
  <c r="I416" i="39"/>
  <c r="I417" i="39"/>
  <c r="I418" i="39"/>
  <c r="I419" i="39"/>
  <c r="I420" i="39"/>
  <c r="I421" i="39"/>
  <c r="I422" i="39"/>
  <c r="I423" i="39"/>
  <c r="I424" i="39"/>
  <c r="I425" i="39"/>
  <c r="I426" i="39"/>
  <c r="I427" i="39"/>
  <c r="I428" i="39"/>
  <c r="I429" i="39"/>
  <c r="I430" i="39"/>
  <c r="I431" i="39"/>
  <c r="I432" i="39"/>
  <c r="I433" i="39"/>
  <c r="I434" i="39"/>
  <c r="I435" i="39"/>
  <c r="I436" i="39"/>
  <c r="I437" i="39"/>
  <c r="I438" i="39"/>
  <c r="I439" i="39"/>
  <c r="I440" i="39"/>
  <c r="I441" i="39"/>
  <c r="I442" i="39"/>
  <c r="I443" i="39"/>
  <c r="I444" i="39"/>
  <c r="I445" i="39"/>
  <c r="I446" i="39"/>
  <c r="I447" i="39"/>
  <c r="I448" i="39"/>
  <c r="I449" i="39"/>
  <c r="I450" i="39"/>
  <c r="I451" i="39"/>
  <c r="I452" i="39"/>
  <c r="I453" i="39"/>
  <c r="I454" i="39"/>
  <c r="I455" i="39"/>
  <c r="I456" i="39"/>
  <c r="I457" i="39"/>
  <c r="I458" i="39"/>
  <c r="I459" i="39"/>
  <c r="I460" i="39"/>
  <c r="I461" i="39"/>
  <c r="I462" i="39"/>
  <c r="I463" i="39"/>
  <c r="I464" i="39"/>
  <c r="I465" i="39"/>
  <c r="I466" i="39"/>
  <c r="I467" i="39"/>
  <c r="I468" i="39"/>
  <c r="I469" i="39"/>
  <c r="I470" i="39"/>
  <c r="I471" i="39"/>
  <c r="I472" i="39"/>
  <c r="I473" i="39"/>
  <c r="I474" i="39"/>
  <c r="I475" i="39"/>
  <c r="I476" i="39"/>
  <c r="I477" i="39"/>
  <c r="I478" i="39"/>
  <c r="I479" i="39"/>
  <c r="I480" i="39"/>
  <c r="I481" i="39"/>
  <c r="I482" i="39"/>
  <c r="I483" i="39"/>
  <c r="I484" i="39"/>
  <c r="I485" i="39"/>
  <c r="I486" i="39"/>
  <c r="I487" i="39"/>
  <c r="I488" i="39"/>
  <c r="I489" i="39"/>
  <c r="I490" i="39"/>
  <c r="I491" i="39"/>
  <c r="I492" i="39"/>
  <c r="I493" i="39"/>
  <c r="I494" i="39"/>
  <c r="I495" i="39"/>
  <c r="I496" i="39"/>
  <c r="I497" i="39"/>
  <c r="I498" i="39"/>
  <c r="I499" i="39"/>
  <c r="I500" i="39"/>
  <c r="I501" i="39"/>
  <c r="I502" i="39"/>
  <c r="I503" i="39"/>
  <c r="I504" i="39"/>
  <c r="I505" i="39"/>
  <c r="I506" i="39"/>
  <c r="I507" i="39"/>
  <c r="I508" i="39"/>
  <c r="I509" i="39"/>
  <c r="I510" i="39"/>
  <c r="I511" i="39"/>
  <c r="I512" i="39"/>
  <c r="I513" i="39"/>
  <c r="I514" i="39"/>
  <c r="I515" i="39"/>
  <c r="I516" i="39"/>
  <c r="I517" i="39"/>
  <c r="I518" i="39"/>
  <c r="I519" i="39"/>
  <c r="I520" i="39"/>
  <c r="I521" i="39"/>
  <c r="I522" i="39"/>
  <c r="I523" i="39"/>
  <c r="I524" i="39"/>
  <c r="I525" i="39"/>
  <c r="I526" i="39"/>
  <c r="I527" i="39"/>
  <c r="I528" i="39"/>
  <c r="I529" i="39"/>
  <c r="I530" i="39"/>
  <c r="I531" i="39"/>
  <c r="I532" i="39"/>
  <c r="I533" i="39"/>
  <c r="I534" i="39"/>
  <c r="I535" i="39"/>
  <c r="I536" i="39"/>
  <c r="I537" i="39"/>
  <c r="I538" i="39"/>
  <c r="I539" i="39"/>
  <c r="I540" i="39"/>
  <c r="I541" i="39"/>
  <c r="I542" i="39"/>
  <c r="I543" i="39"/>
  <c r="I544" i="39"/>
  <c r="I545" i="39"/>
  <c r="I546" i="39"/>
  <c r="I547" i="39"/>
  <c r="I548" i="39"/>
  <c r="I549" i="39"/>
  <c r="I550" i="39"/>
  <c r="I551" i="39"/>
  <c r="I552" i="39"/>
  <c r="I553" i="39"/>
  <c r="I554" i="39"/>
  <c r="I555" i="39"/>
  <c r="I556" i="39"/>
  <c r="I557" i="39"/>
  <c r="I558" i="39"/>
  <c r="I559" i="39"/>
  <c r="I560" i="39"/>
  <c r="I561" i="39"/>
  <c r="I562" i="39"/>
  <c r="I563" i="39"/>
  <c r="I564" i="39"/>
  <c r="I565" i="39"/>
  <c r="I566" i="39"/>
  <c r="I567" i="39"/>
  <c r="I568" i="39"/>
  <c r="I569" i="39"/>
  <c r="I570" i="39"/>
  <c r="I571" i="39"/>
  <c r="I572" i="39"/>
  <c r="I573" i="39"/>
  <c r="I574" i="39"/>
  <c r="I575" i="39"/>
  <c r="I576" i="39"/>
  <c r="I577" i="39"/>
  <c r="I578" i="39"/>
  <c r="I579" i="39"/>
  <c r="I580" i="39"/>
  <c r="I581" i="39"/>
  <c r="I582" i="39"/>
  <c r="I583" i="39"/>
  <c r="I584" i="39"/>
  <c r="I585" i="39"/>
  <c r="I586" i="39"/>
  <c r="I587" i="39"/>
  <c r="I588" i="39"/>
  <c r="I589" i="39"/>
  <c r="I590" i="39"/>
  <c r="I591" i="39"/>
  <c r="I592" i="39"/>
  <c r="I593" i="39"/>
  <c r="I594" i="39"/>
  <c r="I595" i="39"/>
  <c r="I596" i="39"/>
  <c r="I597" i="39"/>
  <c r="I598" i="39"/>
  <c r="I599" i="39"/>
  <c r="I600" i="39"/>
  <c r="I601" i="39"/>
  <c r="I602" i="39"/>
  <c r="I603" i="39"/>
  <c r="I604" i="39"/>
  <c r="I605" i="39"/>
  <c r="I606" i="39"/>
  <c r="I607" i="39"/>
  <c r="I608" i="39"/>
  <c r="I609" i="39"/>
  <c r="I610" i="39"/>
  <c r="I611" i="39"/>
  <c r="I612" i="39"/>
  <c r="I613" i="39"/>
  <c r="I614" i="39"/>
  <c r="I615" i="39"/>
  <c r="I616" i="39"/>
  <c r="I617" i="39"/>
  <c r="I618" i="39"/>
  <c r="I619" i="39"/>
  <c r="I620" i="39"/>
  <c r="I621" i="39"/>
  <c r="I622" i="39"/>
  <c r="I623" i="39"/>
  <c r="I624" i="39"/>
  <c r="I625" i="39"/>
  <c r="I626" i="39"/>
  <c r="I627" i="39"/>
  <c r="I628" i="39"/>
  <c r="I629" i="39"/>
  <c r="I630" i="39"/>
  <c r="I631" i="39"/>
  <c r="I632" i="39"/>
  <c r="I633" i="39"/>
  <c r="I634" i="39"/>
  <c r="I635" i="39"/>
  <c r="I636" i="39"/>
  <c r="I637" i="39"/>
  <c r="I638" i="39"/>
  <c r="I639" i="39"/>
  <c r="I640" i="39"/>
  <c r="I641" i="39"/>
  <c r="I642" i="39"/>
  <c r="I643" i="39"/>
  <c r="I644" i="39"/>
  <c r="I645" i="39"/>
  <c r="I646" i="39"/>
  <c r="I647" i="39"/>
  <c r="I648" i="39"/>
  <c r="I649" i="39"/>
  <c r="I650" i="39"/>
  <c r="I651" i="39"/>
  <c r="I652" i="39"/>
  <c r="I653" i="39"/>
  <c r="I654" i="39"/>
  <c r="I655" i="39"/>
  <c r="I656" i="39"/>
  <c r="I657" i="39"/>
  <c r="I658" i="39"/>
  <c r="I659" i="39"/>
  <c r="I660" i="39"/>
  <c r="I661" i="39"/>
  <c r="I662" i="39"/>
  <c r="I663" i="39"/>
  <c r="I664" i="39"/>
  <c r="I665" i="39"/>
  <c r="I666" i="39"/>
  <c r="I667" i="39"/>
  <c r="I668" i="39"/>
  <c r="I669" i="39"/>
  <c r="I670" i="39"/>
  <c r="I671" i="39"/>
  <c r="I672" i="39"/>
  <c r="I673" i="39"/>
  <c r="I674" i="39"/>
  <c r="I675" i="39"/>
  <c r="I676" i="39"/>
  <c r="I677" i="39"/>
  <c r="I678" i="39"/>
  <c r="I679" i="39"/>
  <c r="I680" i="39"/>
  <c r="I681" i="39"/>
  <c r="I682" i="39"/>
  <c r="I683" i="39"/>
  <c r="I684" i="39"/>
  <c r="I685" i="39"/>
  <c r="I686" i="39"/>
  <c r="I687" i="39"/>
  <c r="I688" i="39"/>
  <c r="I689" i="39"/>
  <c r="I690" i="39"/>
  <c r="I691" i="39"/>
  <c r="I692" i="39"/>
  <c r="I693" i="39"/>
  <c r="I694" i="39"/>
  <c r="I695" i="39"/>
  <c r="I696" i="39"/>
  <c r="I697" i="39"/>
  <c r="I698" i="39"/>
  <c r="I699" i="39"/>
  <c r="I700" i="39"/>
  <c r="I701" i="39"/>
  <c r="I702" i="39"/>
  <c r="I703" i="39"/>
  <c r="I704" i="39"/>
  <c r="I705" i="39"/>
  <c r="I706" i="39"/>
  <c r="I707" i="39"/>
  <c r="I708" i="39"/>
  <c r="I709" i="39"/>
  <c r="I710" i="39"/>
  <c r="I711" i="39"/>
  <c r="I712" i="39"/>
  <c r="I713" i="39"/>
  <c r="I714" i="39"/>
  <c r="I715" i="39"/>
  <c r="I716" i="39"/>
  <c r="I717" i="39"/>
  <c r="I718" i="39"/>
  <c r="I719" i="39"/>
  <c r="I720" i="39"/>
  <c r="I721" i="39"/>
  <c r="I722" i="39"/>
  <c r="I723" i="39"/>
  <c r="I724" i="39"/>
  <c r="I725" i="39"/>
  <c r="I726" i="39"/>
  <c r="I727" i="39"/>
  <c r="I728" i="39"/>
  <c r="I729" i="39"/>
  <c r="I730" i="39"/>
  <c r="I731" i="39"/>
  <c r="I732" i="39"/>
  <c r="I733" i="39"/>
  <c r="I734" i="39"/>
  <c r="I735" i="39"/>
  <c r="I736" i="39"/>
  <c r="I737" i="39"/>
  <c r="I738" i="39"/>
  <c r="I739" i="39"/>
  <c r="I740" i="39"/>
  <c r="I741" i="39"/>
  <c r="I742" i="39"/>
  <c r="I743" i="39"/>
  <c r="I744" i="39"/>
  <c r="I745" i="39"/>
  <c r="I746" i="39"/>
  <c r="I747" i="39"/>
  <c r="I748" i="39"/>
  <c r="I749" i="39"/>
  <c r="I750" i="39"/>
  <c r="I751" i="39"/>
  <c r="I752" i="39"/>
  <c r="I753" i="39"/>
  <c r="I754" i="39"/>
  <c r="I755" i="39"/>
  <c r="I756" i="39"/>
  <c r="I757" i="39"/>
  <c r="I758" i="39"/>
  <c r="I759" i="39"/>
  <c r="I760" i="39"/>
  <c r="I761" i="39"/>
  <c r="I762" i="39"/>
  <c r="I763" i="39"/>
  <c r="I764" i="39"/>
  <c r="I765" i="39"/>
  <c r="I766" i="39"/>
  <c r="I767" i="39"/>
  <c r="I768" i="39"/>
  <c r="I769" i="39"/>
  <c r="I770" i="39"/>
  <c r="I771" i="39"/>
  <c r="I772" i="39"/>
  <c r="I773" i="39"/>
  <c r="I774" i="39"/>
  <c r="I775" i="39"/>
  <c r="I776" i="39"/>
  <c r="I777" i="39"/>
  <c r="I778" i="39"/>
  <c r="I779" i="39"/>
  <c r="I780" i="39"/>
  <c r="I781" i="39"/>
  <c r="I782" i="39"/>
  <c r="I783" i="39"/>
  <c r="I784" i="39"/>
  <c r="I785" i="39"/>
  <c r="I786" i="39"/>
  <c r="I787" i="39"/>
  <c r="I788" i="39"/>
  <c r="I789" i="39"/>
  <c r="I790" i="39"/>
  <c r="I791" i="39"/>
  <c r="I792" i="39"/>
  <c r="I793" i="39"/>
  <c r="I794" i="39"/>
  <c r="I795" i="39"/>
  <c r="I796" i="39"/>
  <c r="I797" i="39"/>
  <c r="I798" i="39"/>
  <c r="I799" i="39"/>
  <c r="I800" i="39"/>
  <c r="I801" i="39"/>
  <c r="I802" i="39"/>
  <c r="I803" i="39"/>
  <c r="I804" i="39"/>
  <c r="I805" i="39"/>
  <c r="I806" i="39"/>
  <c r="I807" i="39"/>
  <c r="I808" i="39"/>
  <c r="I809" i="39"/>
  <c r="I810" i="39"/>
  <c r="I811" i="39"/>
  <c r="I812" i="39"/>
  <c r="I813" i="39"/>
  <c r="I814" i="39"/>
  <c r="I815" i="39"/>
  <c r="I816" i="39"/>
  <c r="I817" i="39"/>
  <c r="I818" i="39"/>
  <c r="I819" i="39"/>
  <c r="I820" i="39"/>
  <c r="I821" i="39"/>
  <c r="I822" i="39"/>
  <c r="I823" i="39"/>
  <c r="I824" i="39"/>
  <c r="I825" i="39"/>
  <c r="I826" i="39"/>
  <c r="I827" i="39"/>
  <c r="I828" i="39"/>
  <c r="I829" i="39"/>
  <c r="I830" i="39"/>
  <c r="I831" i="39"/>
  <c r="I832" i="39"/>
  <c r="I833" i="39"/>
  <c r="I834" i="39"/>
  <c r="I835" i="39"/>
  <c r="I836" i="39"/>
  <c r="I837" i="39"/>
  <c r="I838" i="39"/>
  <c r="I839" i="39"/>
  <c r="I840" i="39"/>
  <c r="I841" i="39"/>
  <c r="I842" i="39"/>
  <c r="I843" i="39"/>
  <c r="I844" i="39"/>
  <c r="I845" i="39"/>
  <c r="I846" i="39"/>
  <c r="I847" i="39"/>
  <c r="I848" i="39"/>
  <c r="I849" i="39"/>
  <c r="I850" i="39"/>
  <c r="I851" i="39"/>
  <c r="I852" i="39"/>
  <c r="I853" i="39"/>
  <c r="I854" i="39"/>
  <c r="I855" i="39"/>
  <c r="I856" i="39"/>
  <c r="I857" i="39"/>
  <c r="I858" i="39"/>
  <c r="I859" i="39"/>
  <c r="I860" i="39"/>
  <c r="I861" i="39"/>
  <c r="I862" i="39"/>
  <c r="I863" i="39"/>
  <c r="I864" i="39"/>
  <c r="I865" i="39"/>
  <c r="I866" i="39"/>
  <c r="I867" i="39"/>
  <c r="I868" i="39"/>
  <c r="I869" i="39"/>
  <c r="I870" i="39"/>
  <c r="I871" i="39"/>
  <c r="I872" i="39"/>
  <c r="I873" i="39"/>
  <c r="I874" i="39"/>
  <c r="I875" i="39"/>
  <c r="I876" i="39"/>
  <c r="I877" i="39"/>
  <c r="I878" i="39"/>
  <c r="I879" i="39"/>
  <c r="I880" i="39"/>
  <c r="I881" i="39"/>
  <c r="I882" i="39"/>
  <c r="I883" i="39"/>
  <c r="I884" i="39"/>
  <c r="I885" i="39"/>
  <c r="I886" i="39"/>
  <c r="I887" i="39"/>
  <c r="I888" i="39"/>
  <c r="I889" i="39"/>
  <c r="I890" i="39"/>
  <c r="I891" i="39"/>
  <c r="I892" i="39"/>
  <c r="I893" i="39"/>
  <c r="I894" i="39"/>
  <c r="I895" i="39"/>
  <c r="I896" i="39"/>
  <c r="I897" i="39"/>
  <c r="I898" i="39"/>
  <c r="I899" i="39"/>
  <c r="I900" i="39"/>
  <c r="I901" i="39"/>
  <c r="I902" i="39"/>
  <c r="I903" i="39"/>
  <c r="I904" i="39"/>
  <c r="I905" i="39"/>
  <c r="I906" i="39"/>
  <c r="I907" i="39"/>
  <c r="I908" i="39"/>
  <c r="I909" i="39"/>
  <c r="I910" i="39"/>
  <c r="I911" i="39"/>
  <c r="I912" i="39"/>
  <c r="I913" i="39"/>
  <c r="I914" i="39"/>
  <c r="I915" i="39"/>
  <c r="I916" i="39"/>
  <c r="I917" i="39"/>
  <c r="I918" i="39"/>
  <c r="I919" i="39"/>
  <c r="I920" i="39"/>
  <c r="I921" i="39"/>
  <c r="I922" i="39"/>
  <c r="I923" i="39"/>
  <c r="I924" i="39"/>
  <c r="I925" i="39"/>
  <c r="I926" i="39"/>
  <c r="I927" i="39"/>
  <c r="I928" i="39"/>
  <c r="I929" i="39"/>
  <c r="I930" i="39"/>
  <c r="I931" i="39"/>
  <c r="I932" i="39"/>
  <c r="I933" i="39"/>
  <c r="I934" i="39"/>
  <c r="I935" i="39"/>
  <c r="I936" i="39"/>
  <c r="I937" i="39"/>
  <c r="I938" i="39"/>
  <c r="I939" i="39"/>
  <c r="I940" i="39"/>
  <c r="I941" i="39"/>
  <c r="I942" i="39"/>
  <c r="I943" i="39"/>
  <c r="I944" i="39"/>
  <c r="I945" i="39"/>
  <c r="I946" i="39"/>
  <c r="I947" i="39"/>
  <c r="I948" i="39"/>
  <c r="I949" i="39"/>
  <c r="I950" i="39"/>
  <c r="I951" i="39"/>
  <c r="I952" i="39"/>
  <c r="I953" i="39"/>
  <c r="I954" i="39"/>
  <c r="I955" i="39"/>
  <c r="I956" i="39"/>
  <c r="I957" i="39"/>
  <c r="I958" i="39"/>
  <c r="I959" i="39"/>
  <c r="I960" i="39"/>
  <c r="I961" i="39"/>
  <c r="I962" i="39"/>
  <c r="I963" i="39"/>
  <c r="I964" i="39"/>
  <c r="I965" i="39"/>
  <c r="I966" i="39"/>
  <c r="I967" i="39"/>
  <c r="I968" i="39"/>
  <c r="I969" i="39"/>
  <c r="I970" i="39"/>
  <c r="I971" i="39"/>
  <c r="I972" i="39"/>
  <c r="I973" i="39"/>
  <c r="I974" i="39"/>
  <c r="I975" i="39"/>
  <c r="I976" i="39"/>
  <c r="I977" i="39"/>
  <c r="I978" i="39"/>
  <c r="I979" i="39"/>
  <c r="I980" i="39"/>
  <c r="I981" i="39"/>
  <c r="I982" i="39"/>
  <c r="I983" i="39"/>
  <c r="I984" i="39"/>
  <c r="I985" i="39"/>
  <c r="I986" i="39"/>
  <c r="I987" i="39"/>
  <c r="I988" i="39"/>
  <c r="I989" i="39"/>
  <c r="I990" i="39"/>
  <c r="I991" i="39"/>
  <c r="I992" i="39"/>
  <c r="I993" i="39"/>
  <c r="I994" i="39"/>
  <c r="I995" i="39"/>
  <c r="I996" i="39"/>
  <c r="I997" i="39"/>
  <c r="I998" i="39"/>
  <c r="I999" i="39"/>
  <c r="I1000" i="39"/>
  <c r="I1001" i="39"/>
  <c r="I1002" i="39"/>
  <c r="I1003" i="39"/>
  <c r="I1004" i="39"/>
  <c r="I1005" i="39"/>
  <c r="I1006" i="39"/>
  <c r="I1007" i="39"/>
  <c r="I1008" i="39"/>
  <c r="I1009" i="39"/>
  <c r="I1010" i="39"/>
  <c r="I1011" i="39"/>
  <c r="I1012" i="39"/>
  <c r="I1013" i="39"/>
  <c r="I1014" i="39"/>
  <c r="I1015" i="39"/>
  <c r="I1016" i="39"/>
  <c r="H18" i="40" l="1"/>
  <c r="G18" i="40"/>
  <c r="F18" i="40"/>
  <c r="F9" i="40" l="1"/>
  <c r="A3" i="36" l="1"/>
  <c r="A4" i="36"/>
  <c r="A5" i="36"/>
  <c r="A6" i="36"/>
  <c r="A7" i="36"/>
  <c r="A8" i="36"/>
  <c r="A9" i="36"/>
  <c r="A10" i="36"/>
  <c r="A11" i="36"/>
  <c r="A12" i="36"/>
  <c r="A13" i="36"/>
  <c r="A14" i="36"/>
  <c r="A15" i="36"/>
  <c r="A16" i="36"/>
  <c r="A17" i="36"/>
  <c r="A18" i="36"/>
  <c r="A19" i="36"/>
  <c r="A20" i="36"/>
  <c r="A21" i="36"/>
  <c r="A22" i="36"/>
  <c r="A23" i="36"/>
  <c r="A24" i="36"/>
  <c r="A25" i="36"/>
  <c r="A26" i="36"/>
  <c r="A27" i="36"/>
  <c r="A28" i="36"/>
  <c r="A29" i="36"/>
  <c r="A30" i="36"/>
  <c r="A31" i="36"/>
  <c r="A32" i="36"/>
  <c r="A33" i="36"/>
  <c r="A34" i="36"/>
  <c r="A35" i="36"/>
  <c r="A36" i="36"/>
  <c r="A37" i="36"/>
  <c r="A38" i="36"/>
  <c r="A39" i="36"/>
  <c r="A40" i="36"/>
  <c r="A41" i="36"/>
  <c r="A42" i="36"/>
  <c r="A43" i="36"/>
  <c r="A44" i="36"/>
  <c r="A45" i="36"/>
  <c r="A46" i="36"/>
  <c r="A47" i="36"/>
  <c r="A48" i="36"/>
  <c r="A49" i="36"/>
  <c r="A50" i="36"/>
  <c r="A51" i="36"/>
  <c r="A52" i="36"/>
  <c r="A53" i="36"/>
  <c r="A54" i="36"/>
  <c r="A55" i="36"/>
  <c r="A56" i="36"/>
  <c r="A57" i="36"/>
  <c r="A58" i="36"/>
  <c r="A59" i="36"/>
  <c r="A60" i="36"/>
  <c r="A61" i="36"/>
  <c r="A62" i="36"/>
  <c r="A63" i="36"/>
  <c r="A64" i="36"/>
  <c r="A65" i="36"/>
  <c r="A66" i="36"/>
  <c r="A67" i="36"/>
  <c r="A68" i="36"/>
  <c r="A69" i="36"/>
  <c r="A70" i="36"/>
  <c r="A71" i="36"/>
  <c r="A72" i="36"/>
  <c r="A73" i="36"/>
  <c r="A74" i="36"/>
  <c r="A75" i="36"/>
  <c r="A76" i="36"/>
  <c r="A77" i="36"/>
  <c r="A78" i="36"/>
  <c r="A79" i="36"/>
  <c r="A80" i="36"/>
  <c r="A81" i="36"/>
  <c r="A82" i="36"/>
  <c r="A83" i="36"/>
  <c r="A84" i="36"/>
  <c r="A85" i="36"/>
  <c r="A86" i="36"/>
  <c r="A87" i="36"/>
  <c r="A88" i="36"/>
  <c r="A89" i="36"/>
  <c r="A90" i="36"/>
  <c r="A91" i="36"/>
  <c r="A92" i="36"/>
  <c r="A93" i="36"/>
  <c r="A94" i="36"/>
  <c r="A95" i="36"/>
  <c r="A96" i="36"/>
  <c r="A97" i="36"/>
  <c r="A98" i="36"/>
  <c r="A99" i="36"/>
  <c r="A100" i="36"/>
  <c r="A101" i="36"/>
  <c r="A102" i="36"/>
  <c r="A103" i="36"/>
  <c r="A104" i="36"/>
  <c r="A105" i="36"/>
  <c r="A106" i="36"/>
  <c r="A107" i="36"/>
  <c r="A108" i="36"/>
  <c r="A109" i="36"/>
  <c r="A110" i="36"/>
  <c r="A111" i="36"/>
  <c r="A112" i="36"/>
  <c r="A113" i="36"/>
  <c r="A114" i="36"/>
  <c r="A115" i="36"/>
  <c r="A116" i="36"/>
  <c r="A117" i="36"/>
  <c r="A118" i="36"/>
  <c r="A119" i="36"/>
  <c r="A120" i="36"/>
  <c r="A121" i="36"/>
  <c r="A122" i="36"/>
  <c r="A123" i="36"/>
  <c r="A124" i="36"/>
  <c r="A125" i="36"/>
  <c r="A126" i="36"/>
  <c r="A127" i="36"/>
  <c r="A128" i="36"/>
  <c r="A129" i="36"/>
  <c r="A130" i="36"/>
  <c r="A131" i="36"/>
  <c r="A132" i="36"/>
  <c r="A133" i="36"/>
  <c r="A134" i="36"/>
  <c r="A135" i="36"/>
  <c r="A136" i="36"/>
  <c r="A137" i="36"/>
  <c r="A138" i="36"/>
  <c r="A139" i="36"/>
  <c r="A140" i="36"/>
  <c r="A141" i="36"/>
  <c r="A142" i="36"/>
  <c r="A143" i="36"/>
  <c r="A144" i="36"/>
  <c r="A145" i="36"/>
  <c r="A146" i="36"/>
  <c r="A147" i="36"/>
  <c r="A148" i="36"/>
  <c r="A149" i="36"/>
  <c r="A150" i="36"/>
  <c r="A151" i="36"/>
  <c r="A152" i="36"/>
  <c r="A153" i="36"/>
  <c r="A154" i="36"/>
  <c r="A155" i="36"/>
  <c r="A156" i="36"/>
  <c r="A157" i="36"/>
  <c r="A158" i="36"/>
  <c r="A159" i="36"/>
  <c r="A160" i="36"/>
  <c r="A161" i="36"/>
  <c r="A162" i="36"/>
  <c r="A163" i="36"/>
  <c r="A164" i="36"/>
  <c r="A165" i="36"/>
  <c r="A166" i="36"/>
  <c r="A167" i="36"/>
  <c r="A168" i="36"/>
  <c r="A169" i="36"/>
  <c r="A170" i="36"/>
  <c r="A171" i="36"/>
  <c r="A172" i="36"/>
  <c r="A173" i="36"/>
  <c r="A174" i="36"/>
  <c r="A175" i="36"/>
  <c r="A176" i="36"/>
  <c r="A177" i="36"/>
  <c r="A178" i="36"/>
  <c r="A179" i="36"/>
  <c r="A180" i="36"/>
  <c r="A181" i="36"/>
  <c r="A182" i="36"/>
  <c r="A183" i="36"/>
  <c r="A184" i="36"/>
  <c r="A185" i="36"/>
  <c r="A186" i="36"/>
  <c r="A187" i="36"/>
  <c r="A188" i="36"/>
  <c r="A189" i="36"/>
  <c r="A190" i="36"/>
  <c r="A191" i="36"/>
  <c r="A192" i="36"/>
  <c r="A193" i="36"/>
  <c r="A194" i="36"/>
  <c r="A195" i="36"/>
  <c r="A196" i="36"/>
  <c r="A197" i="36"/>
  <c r="A198" i="36"/>
  <c r="A199" i="36"/>
  <c r="A200" i="36"/>
  <c r="A201" i="36"/>
  <c r="A202" i="36"/>
  <c r="A203" i="36"/>
  <c r="A204" i="36"/>
  <c r="A205" i="36"/>
  <c r="A206" i="36"/>
  <c r="A207" i="36"/>
  <c r="A208" i="36"/>
  <c r="A209" i="36"/>
  <c r="A210" i="36"/>
  <c r="A211" i="36"/>
  <c r="A212" i="36"/>
  <c r="A213" i="36"/>
  <c r="A214" i="36"/>
  <c r="A215" i="36"/>
  <c r="A216" i="36"/>
  <c r="A217" i="36"/>
  <c r="A218" i="36"/>
  <c r="A219" i="36"/>
  <c r="A220" i="36"/>
  <c r="A221" i="36"/>
  <c r="A222" i="36"/>
  <c r="A223" i="36"/>
  <c r="A224" i="36"/>
  <c r="A225" i="36"/>
  <c r="A226" i="36"/>
  <c r="A227" i="36"/>
  <c r="A228" i="36"/>
  <c r="A229" i="36"/>
  <c r="A230" i="36"/>
  <c r="A231" i="36"/>
  <c r="A232" i="36"/>
  <c r="A233" i="36"/>
  <c r="A234" i="36"/>
  <c r="A235" i="36"/>
  <c r="A236" i="36"/>
  <c r="A237" i="36"/>
  <c r="A238" i="36"/>
  <c r="A239" i="36"/>
  <c r="A240" i="36"/>
  <c r="A241" i="36"/>
  <c r="A242" i="36"/>
  <c r="A243" i="36"/>
  <c r="A244" i="36"/>
  <c r="A245" i="36"/>
  <c r="A246" i="36"/>
  <c r="A247" i="36"/>
  <c r="A248" i="36"/>
  <c r="A249" i="36"/>
  <c r="A250" i="36"/>
  <c r="A251" i="36"/>
  <c r="A252" i="36"/>
  <c r="A253" i="36"/>
  <c r="A254" i="36"/>
  <c r="A255" i="36"/>
  <c r="A256" i="36"/>
  <c r="A257" i="36"/>
  <c r="A258" i="36"/>
  <c r="A259" i="36"/>
  <c r="A260" i="36"/>
  <c r="A261" i="36"/>
  <c r="A262" i="36"/>
  <c r="A263" i="36"/>
  <c r="A264" i="36"/>
  <c r="A265" i="36"/>
  <c r="A266" i="36"/>
  <c r="A267" i="36"/>
  <c r="A268" i="36"/>
  <c r="A269" i="36"/>
  <c r="A270" i="36"/>
  <c r="A271" i="36"/>
  <c r="A272" i="36"/>
  <c r="A273" i="36"/>
  <c r="A274" i="36"/>
  <c r="A275" i="36"/>
  <c r="A276" i="36"/>
  <c r="A277" i="36"/>
  <c r="A278" i="36"/>
  <c r="A279" i="36"/>
  <c r="A280" i="36"/>
  <c r="A281" i="36"/>
  <c r="A282" i="36"/>
  <c r="A283" i="36"/>
  <c r="A284" i="36"/>
  <c r="A285" i="36"/>
  <c r="A286" i="36"/>
  <c r="A287" i="36"/>
  <c r="A288" i="36"/>
  <c r="A289" i="36"/>
  <c r="A290" i="36"/>
  <c r="A291" i="36"/>
  <c r="A292" i="36"/>
  <c r="A293" i="36"/>
  <c r="A294" i="36"/>
  <c r="A295" i="36"/>
  <c r="A296" i="36"/>
  <c r="A297" i="36"/>
  <c r="A298" i="36"/>
  <c r="A299" i="36"/>
  <c r="A300" i="36"/>
  <c r="A301" i="36"/>
  <c r="A302" i="36"/>
  <c r="A303" i="36"/>
  <c r="A304" i="36"/>
  <c r="A305" i="36"/>
  <c r="A306" i="36"/>
  <c r="A307" i="36"/>
  <c r="A308" i="36"/>
  <c r="A309" i="36"/>
  <c r="A310" i="36"/>
  <c r="A311" i="36"/>
  <c r="A312" i="36"/>
  <c r="A313" i="36"/>
  <c r="A314" i="36"/>
  <c r="A315" i="36"/>
  <c r="A316" i="36"/>
  <c r="A317" i="36"/>
  <c r="A318" i="36"/>
  <c r="A319" i="36"/>
  <c r="A320" i="36"/>
  <c r="A321" i="36"/>
  <c r="A322" i="36"/>
  <c r="A323" i="36"/>
  <c r="A324" i="36"/>
  <c r="A325" i="36"/>
  <c r="A326" i="36"/>
  <c r="A327" i="36"/>
  <c r="A328" i="36"/>
  <c r="A329" i="36"/>
  <c r="A330" i="36"/>
  <c r="A331" i="36"/>
  <c r="A332" i="36"/>
  <c r="A333" i="36"/>
  <c r="A334" i="36"/>
  <c r="A335" i="36"/>
  <c r="A336" i="36"/>
  <c r="A337" i="36"/>
  <c r="A338" i="36"/>
  <c r="A339" i="36"/>
  <c r="A340" i="36"/>
  <c r="A341" i="36"/>
  <c r="A342" i="36"/>
  <c r="A343" i="36"/>
  <c r="A344" i="36"/>
  <c r="A345" i="36"/>
  <c r="A346" i="36"/>
  <c r="A347" i="36"/>
  <c r="A348" i="36"/>
  <c r="A349" i="36"/>
  <c r="A350" i="36"/>
  <c r="A351" i="36"/>
  <c r="A352" i="36"/>
  <c r="A353" i="36"/>
  <c r="A354" i="36"/>
  <c r="A355" i="36"/>
  <c r="A356" i="36"/>
  <c r="A357" i="36"/>
  <c r="A358" i="36"/>
  <c r="A359" i="36"/>
  <c r="A360" i="36"/>
  <c r="A361" i="36"/>
  <c r="A362" i="36"/>
  <c r="A363" i="36"/>
  <c r="A364" i="36"/>
  <c r="A365" i="36"/>
  <c r="A366" i="36"/>
  <c r="A367" i="36"/>
  <c r="A368" i="36"/>
  <c r="A369" i="36"/>
  <c r="A370" i="36"/>
  <c r="A371" i="36"/>
  <c r="A372" i="36"/>
  <c r="A373" i="36"/>
  <c r="A374" i="36"/>
  <c r="A375" i="36"/>
  <c r="A376" i="36"/>
  <c r="A377" i="36"/>
  <c r="A378" i="36"/>
  <c r="A379" i="36"/>
  <c r="A380" i="36"/>
  <c r="A381" i="36"/>
  <c r="A382" i="36"/>
  <c r="A383" i="36"/>
  <c r="A384" i="36"/>
  <c r="A385" i="36"/>
  <c r="A386" i="36"/>
  <c r="A387" i="36"/>
  <c r="A388" i="36"/>
  <c r="A389" i="36"/>
  <c r="A390" i="36"/>
  <c r="A391" i="36"/>
  <c r="A392" i="36"/>
  <c r="A393" i="36"/>
  <c r="A394" i="36"/>
  <c r="A395" i="36"/>
  <c r="A396" i="36"/>
  <c r="A397" i="36"/>
  <c r="A398" i="36"/>
  <c r="A399" i="36"/>
  <c r="A400" i="36"/>
  <c r="A401" i="36"/>
  <c r="A402" i="36"/>
  <c r="A403" i="36"/>
  <c r="A404" i="36"/>
  <c r="A405" i="36"/>
  <c r="A406" i="36"/>
  <c r="A407" i="36"/>
  <c r="A408" i="36"/>
  <c r="A409" i="36"/>
  <c r="A410" i="36"/>
  <c r="A411" i="36"/>
  <c r="A412" i="36"/>
  <c r="A413" i="36"/>
  <c r="A414" i="36"/>
  <c r="A415" i="36"/>
  <c r="A416" i="36"/>
  <c r="A417" i="36"/>
  <c r="A418" i="36"/>
  <c r="A419" i="36"/>
  <c r="A420" i="36"/>
  <c r="A421" i="36"/>
  <c r="A422" i="36"/>
  <c r="A423" i="36"/>
  <c r="A424" i="36"/>
  <c r="A425" i="36"/>
  <c r="A426" i="36"/>
  <c r="A427" i="36"/>
  <c r="A428" i="36"/>
  <c r="A429" i="36"/>
  <c r="A430" i="36"/>
  <c r="A431" i="36"/>
  <c r="A432" i="36"/>
  <c r="A433" i="36"/>
  <c r="A434" i="36"/>
  <c r="A435" i="36"/>
  <c r="A436" i="36"/>
  <c r="A437" i="36"/>
  <c r="A438" i="36"/>
  <c r="A439" i="36"/>
  <c r="A440" i="36"/>
  <c r="A441" i="36"/>
  <c r="A442" i="36"/>
  <c r="A443" i="36"/>
  <c r="A444" i="36"/>
  <c r="A445" i="36"/>
  <c r="A446" i="36"/>
  <c r="A447" i="36"/>
  <c r="A448" i="36"/>
  <c r="A449" i="36"/>
  <c r="A450" i="36"/>
  <c r="A451" i="36"/>
  <c r="A452" i="36"/>
  <c r="A453" i="36"/>
  <c r="A454" i="36"/>
  <c r="A455" i="36"/>
  <c r="A456" i="36"/>
  <c r="A457" i="36"/>
  <c r="A458" i="36"/>
  <c r="A459" i="36"/>
  <c r="A460" i="36"/>
  <c r="A461" i="36"/>
  <c r="A462" i="36"/>
  <c r="A463" i="36"/>
  <c r="A464" i="36"/>
  <c r="A465" i="36"/>
  <c r="A466" i="36"/>
  <c r="A467" i="36"/>
  <c r="A468" i="36"/>
  <c r="A469" i="36"/>
  <c r="A470" i="36"/>
  <c r="A471" i="36"/>
  <c r="A472" i="36"/>
  <c r="A473" i="36"/>
  <c r="A474" i="36"/>
  <c r="A475" i="36"/>
  <c r="A476" i="36"/>
  <c r="A477" i="36"/>
  <c r="A478" i="36"/>
  <c r="A479" i="36"/>
  <c r="A480" i="36"/>
  <c r="A481" i="36"/>
  <c r="A482" i="36"/>
  <c r="A483" i="36"/>
  <c r="A484" i="36"/>
  <c r="A485" i="36"/>
  <c r="A486" i="36"/>
  <c r="A487" i="36"/>
  <c r="A488" i="36"/>
  <c r="A489" i="36"/>
  <c r="A490" i="36"/>
  <c r="A491" i="36"/>
  <c r="A492" i="36"/>
  <c r="A493" i="36"/>
  <c r="A494" i="36"/>
  <c r="A495" i="36"/>
  <c r="A496" i="36"/>
  <c r="A497" i="36"/>
  <c r="A498" i="36"/>
  <c r="A499" i="36"/>
  <c r="A500" i="36"/>
  <c r="A501" i="36"/>
  <c r="A502" i="36"/>
  <c r="A503" i="36"/>
  <c r="A504" i="36"/>
  <c r="A505" i="36"/>
  <c r="A506" i="36"/>
  <c r="A507" i="36"/>
  <c r="A508" i="36"/>
  <c r="A509" i="36"/>
  <c r="A510" i="36"/>
  <c r="A511" i="36"/>
  <c r="A512" i="36"/>
  <c r="A513" i="36"/>
  <c r="A514" i="36"/>
  <c r="A515" i="36"/>
  <c r="A516" i="36"/>
  <c r="A517" i="36"/>
  <c r="A518" i="36"/>
  <c r="A519" i="36"/>
  <c r="A520" i="36"/>
  <c r="A521" i="36"/>
  <c r="A522" i="36"/>
  <c r="A523" i="36"/>
  <c r="A524" i="36"/>
  <c r="A525" i="36"/>
  <c r="A526" i="36"/>
  <c r="A527" i="36"/>
  <c r="A528" i="36"/>
  <c r="A529" i="36"/>
  <c r="A530" i="36"/>
  <c r="A531" i="36"/>
  <c r="A532" i="36"/>
  <c r="A533" i="36"/>
  <c r="A534" i="36"/>
  <c r="A535" i="36"/>
  <c r="A536" i="36"/>
  <c r="A537" i="36"/>
  <c r="A538" i="36"/>
  <c r="A539" i="36"/>
  <c r="A540" i="36"/>
  <c r="A541" i="36"/>
  <c r="A542" i="36"/>
  <c r="A543" i="36"/>
  <c r="A544" i="36"/>
  <c r="A545" i="36"/>
  <c r="A546" i="36"/>
  <c r="A547" i="36"/>
  <c r="A548" i="36"/>
  <c r="A549" i="36"/>
  <c r="A550" i="36"/>
  <c r="A551" i="36"/>
  <c r="A552" i="36"/>
  <c r="A553" i="36"/>
  <c r="A554" i="36"/>
  <c r="A555" i="36"/>
  <c r="A556" i="36"/>
  <c r="A557" i="36"/>
  <c r="A558" i="36"/>
  <c r="A559" i="36"/>
  <c r="A560" i="36"/>
  <c r="A561" i="36"/>
  <c r="A562" i="36"/>
  <c r="A563" i="36"/>
  <c r="A564" i="36"/>
  <c r="A565" i="36"/>
  <c r="A566" i="36"/>
  <c r="A567" i="36"/>
  <c r="A568" i="36"/>
  <c r="A569" i="36"/>
  <c r="A570" i="36"/>
  <c r="A571" i="36"/>
  <c r="A572" i="36"/>
  <c r="A573" i="36"/>
  <c r="A574" i="36"/>
  <c r="A575" i="36"/>
  <c r="A576" i="36"/>
  <c r="A577" i="36"/>
  <c r="A578" i="36"/>
  <c r="A579" i="36"/>
  <c r="A580" i="36"/>
  <c r="A581" i="36"/>
  <c r="A582" i="36"/>
  <c r="A583" i="36"/>
  <c r="A584" i="36"/>
  <c r="A585" i="36"/>
  <c r="A586" i="36"/>
  <c r="A587" i="36"/>
  <c r="A588" i="36"/>
  <c r="A589" i="36"/>
  <c r="A590" i="36"/>
  <c r="A591" i="36"/>
  <c r="A592" i="36"/>
  <c r="A593" i="36"/>
  <c r="A594" i="36"/>
  <c r="A595" i="36"/>
  <c r="A596" i="36"/>
  <c r="A597" i="36"/>
  <c r="A598" i="36"/>
  <c r="A599" i="36"/>
  <c r="A600" i="36"/>
  <c r="A601" i="36"/>
  <c r="A602" i="36"/>
  <c r="A603" i="36"/>
  <c r="A604" i="36"/>
  <c r="A605" i="36"/>
  <c r="A606" i="36"/>
  <c r="A607" i="36"/>
  <c r="A608" i="36"/>
  <c r="A609" i="36"/>
  <c r="A610" i="36"/>
  <c r="A611" i="36"/>
  <c r="A612" i="36"/>
  <c r="A613" i="36"/>
  <c r="A614" i="36"/>
  <c r="A615" i="36"/>
  <c r="A616" i="36"/>
  <c r="A617" i="36"/>
  <c r="A618" i="36"/>
  <c r="A619" i="36"/>
  <c r="A620" i="36"/>
  <c r="A621" i="36"/>
  <c r="A622" i="36"/>
  <c r="A623" i="36"/>
  <c r="A624" i="36"/>
  <c r="A625" i="36"/>
  <c r="A626" i="36"/>
  <c r="A627" i="36"/>
  <c r="A628" i="36"/>
  <c r="A629" i="36"/>
  <c r="A630" i="36"/>
  <c r="A631" i="36"/>
  <c r="A632" i="36"/>
  <c r="A633" i="36"/>
  <c r="A634" i="36"/>
  <c r="A635" i="36"/>
  <c r="A636" i="36"/>
  <c r="A637" i="36"/>
  <c r="A638" i="36"/>
  <c r="A639" i="36"/>
  <c r="A640" i="36"/>
  <c r="A641" i="36"/>
  <c r="A642" i="36"/>
  <c r="A643" i="36"/>
  <c r="A644" i="36"/>
  <c r="A645" i="36"/>
  <c r="A646" i="36"/>
  <c r="A647" i="36"/>
  <c r="A648" i="36"/>
  <c r="A649" i="36"/>
  <c r="A650" i="36"/>
  <c r="A651" i="36"/>
  <c r="A652" i="36"/>
  <c r="A653" i="36"/>
  <c r="A654" i="36"/>
  <c r="A655" i="36"/>
  <c r="A656" i="36"/>
  <c r="A657" i="36"/>
  <c r="A658" i="36"/>
  <c r="A659" i="36"/>
  <c r="A660" i="36"/>
  <c r="A661" i="36"/>
  <c r="A662" i="36"/>
  <c r="A663" i="36"/>
  <c r="A664" i="36"/>
  <c r="A665" i="36"/>
  <c r="A666" i="36"/>
  <c r="A667" i="36"/>
  <c r="A668" i="36"/>
  <c r="A669" i="36"/>
  <c r="A670" i="36"/>
  <c r="A671" i="36"/>
  <c r="A672" i="36"/>
  <c r="A673" i="36"/>
  <c r="A674" i="36"/>
  <c r="A675" i="36"/>
  <c r="A676" i="36"/>
  <c r="A677" i="36"/>
  <c r="A678" i="36"/>
  <c r="A679" i="36"/>
  <c r="A680" i="36"/>
  <c r="A681" i="36"/>
  <c r="A682" i="36"/>
  <c r="A683" i="36"/>
  <c r="A684" i="36"/>
  <c r="A685" i="36"/>
  <c r="A686" i="36"/>
  <c r="A687" i="36"/>
  <c r="A688" i="36"/>
  <c r="A689" i="36"/>
  <c r="A690" i="36"/>
  <c r="A691" i="36"/>
  <c r="A692" i="36"/>
  <c r="A693" i="36"/>
  <c r="A694" i="36"/>
  <c r="A695" i="36"/>
  <c r="A696" i="36"/>
  <c r="A697" i="36"/>
  <c r="A698" i="36"/>
  <c r="A699" i="36"/>
  <c r="A700" i="36"/>
  <c r="A701" i="36"/>
  <c r="A702" i="36"/>
  <c r="A703" i="36"/>
  <c r="A704" i="36"/>
  <c r="A705" i="36"/>
  <c r="A706" i="36"/>
  <c r="A707" i="36"/>
  <c r="A708" i="36"/>
  <c r="A709" i="36"/>
  <c r="A710" i="36"/>
  <c r="A711" i="36"/>
  <c r="A712" i="36"/>
  <c r="A713" i="36"/>
  <c r="A714" i="36"/>
  <c r="A715" i="36"/>
  <c r="A716" i="36"/>
  <c r="A717" i="36"/>
  <c r="A718" i="36"/>
  <c r="A719" i="36"/>
  <c r="A720" i="36"/>
  <c r="A721" i="36"/>
  <c r="A722" i="36"/>
  <c r="A723" i="36"/>
  <c r="A724" i="36"/>
  <c r="A725" i="36"/>
  <c r="A726" i="36"/>
  <c r="A727" i="36"/>
  <c r="A728" i="36"/>
  <c r="A729" i="36"/>
  <c r="A730" i="36"/>
  <c r="A731" i="36"/>
  <c r="A732" i="36"/>
  <c r="A733" i="36"/>
  <c r="A734" i="36"/>
  <c r="A735" i="36"/>
  <c r="A736" i="36"/>
  <c r="A737" i="36"/>
  <c r="A738" i="36"/>
  <c r="A739" i="36"/>
  <c r="A740" i="36"/>
  <c r="A741" i="36"/>
  <c r="A742" i="36"/>
  <c r="A743" i="36"/>
  <c r="A744" i="36"/>
  <c r="A745" i="36"/>
  <c r="A746" i="36"/>
  <c r="A747" i="36"/>
  <c r="A748" i="36"/>
  <c r="A749" i="36"/>
  <c r="A750" i="36"/>
  <c r="A751" i="36"/>
  <c r="A752" i="36"/>
  <c r="A753" i="36"/>
  <c r="A754" i="36"/>
  <c r="A755" i="36"/>
  <c r="A756" i="36"/>
  <c r="A757" i="36"/>
  <c r="A758" i="36"/>
  <c r="A759" i="36"/>
  <c r="A760" i="36"/>
  <c r="A761" i="36"/>
  <c r="A762" i="36"/>
  <c r="A763" i="36"/>
  <c r="A764" i="36"/>
  <c r="A765" i="36"/>
  <c r="A766" i="36"/>
  <c r="A767" i="36"/>
  <c r="A768" i="36"/>
  <c r="A769" i="36"/>
  <c r="A770" i="36"/>
  <c r="A771" i="36"/>
  <c r="A772" i="36"/>
  <c r="A773" i="36"/>
  <c r="A774" i="36"/>
  <c r="A775" i="36"/>
  <c r="A776" i="36"/>
  <c r="A777" i="36"/>
  <c r="A778" i="36"/>
  <c r="A779" i="36"/>
  <c r="A780" i="36"/>
  <c r="A781" i="36"/>
  <c r="A782" i="36"/>
  <c r="A783" i="36"/>
  <c r="A784" i="36"/>
  <c r="A785" i="36"/>
  <c r="A786" i="36"/>
  <c r="A787" i="36"/>
  <c r="A788" i="36"/>
  <c r="A789" i="36"/>
  <c r="A790" i="36"/>
  <c r="A791" i="36"/>
  <c r="A792" i="36"/>
  <c r="A793" i="36"/>
  <c r="A794" i="36"/>
  <c r="A795" i="36"/>
  <c r="A796" i="36"/>
  <c r="A797" i="36"/>
  <c r="A798" i="36"/>
  <c r="A799" i="36"/>
  <c r="A800" i="36"/>
  <c r="A801" i="36"/>
  <c r="A802" i="36"/>
  <c r="A803" i="36"/>
  <c r="A804" i="36"/>
  <c r="A805" i="36"/>
  <c r="A806" i="36"/>
  <c r="A807" i="36"/>
  <c r="A808" i="36"/>
  <c r="A809" i="36"/>
  <c r="A810" i="36"/>
  <c r="A811" i="36"/>
  <c r="A812" i="36"/>
  <c r="A813" i="36"/>
  <c r="A814" i="36"/>
  <c r="A815" i="36"/>
  <c r="A816" i="36"/>
  <c r="A817" i="36"/>
  <c r="A818" i="36"/>
  <c r="A819" i="36"/>
  <c r="A820" i="36"/>
  <c r="A821" i="36"/>
  <c r="A822" i="36"/>
  <c r="A823" i="36"/>
  <c r="A824" i="36"/>
  <c r="A825" i="36"/>
  <c r="A826" i="36"/>
  <c r="A827" i="36"/>
  <c r="A828" i="36"/>
  <c r="A829" i="36"/>
  <c r="A830" i="36"/>
  <c r="A831" i="36"/>
  <c r="A832" i="36"/>
  <c r="A833" i="36"/>
  <c r="A834" i="36"/>
  <c r="A835" i="36"/>
  <c r="A836" i="36"/>
  <c r="A837" i="36"/>
  <c r="A838" i="36"/>
  <c r="A839" i="36"/>
  <c r="A840" i="36"/>
  <c r="A841" i="36"/>
  <c r="A842" i="36"/>
  <c r="A843" i="36"/>
  <c r="A844" i="36"/>
  <c r="A845" i="36"/>
  <c r="A846" i="36"/>
  <c r="A847" i="36"/>
  <c r="A848" i="36"/>
  <c r="A849" i="36"/>
  <c r="A850" i="36"/>
  <c r="A851" i="36"/>
  <c r="A852" i="36"/>
  <c r="A853" i="36"/>
  <c r="A854" i="36"/>
  <c r="A855" i="36"/>
  <c r="A856" i="36"/>
  <c r="A857" i="36"/>
  <c r="A858" i="36"/>
  <c r="A859" i="36"/>
  <c r="A860" i="36"/>
  <c r="A861" i="36"/>
  <c r="A862" i="36"/>
  <c r="A863" i="36"/>
  <c r="A864" i="36"/>
  <c r="A865" i="36"/>
  <c r="A866" i="36"/>
  <c r="A867" i="36"/>
  <c r="A868" i="36"/>
  <c r="A869" i="36"/>
  <c r="A870" i="36"/>
  <c r="A871" i="36"/>
  <c r="A872" i="36"/>
  <c r="A873" i="36"/>
  <c r="A874" i="36"/>
  <c r="A875" i="36"/>
  <c r="A876" i="36"/>
  <c r="A877" i="36"/>
  <c r="A878" i="36"/>
  <c r="A879" i="36"/>
  <c r="A880" i="36"/>
  <c r="A881" i="36"/>
  <c r="A882" i="36"/>
  <c r="A883" i="36"/>
  <c r="A884" i="36"/>
  <c r="A885" i="36"/>
  <c r="A886" i="36"/>
  <c r="A887" i="36"/>
  <c r="A888" i="36"/>
  <c r="A889" i="36"/>
  <c r="A890" i="36"/>
  <c r="A891" i="36"/>
  <c r="A892" i="36"/>
  <c r="A893" i="36"/>
  <c r="A894" i="36"/>
  <c r="A895" i="36"/>
  <c r="A896" i="36"/>
  <c r="A897" i="36"/>
  <c r="A898" i="36"/>
  <c r="A899" i="36"/>
  <c r="A900" i="36"/>
  <c r="A901" i="36"/>
  <c r="A902" i="36"/>
  <c r="A903" i="36"/>
  <c r="A904" i="36"/>
  <c r="A905" i="36"/>
  <c r="A906" i="36"/>
  <c r="A907" i="36"/>
  <c r="A908" i="36"/>
  <c r="A909" i="36"/>
  <c r="A910" i="36"/>
  <c r="A911" i="36"/>
  <c r="A912" i="36"/>
  <c r="A913" i="36"/>
  <c r="A914" i="36"/>
  <c r="A915" i="36"/>
  <c r="A916" i="36"/>
  <c r="A917" i="36"/>
  <c r="A918" i="36"/>
  <c r="A919" i="36"/>
  <c r="A920" i="36"/>
  <c r="A921" i="36"/>
  <c r="A922" i="36"/>
  <c r="A923" i="36"/>
  <c r="A924" i="36"/>
  <c r="A925" i="36"/>
  <c r="A926" i="36"/>
  <c r="A927" i="36"/>
  <c r="A928" i="36"/>
  <c r="A929" i="36"/>
  <c r="A930" i="36"/>
  <c r="A931" i="36"/>
  <c r="A932" i="36"/>
  <c r="A933" i="36"/>
  <c r="A934" i="36"/>
  <c r="A935" i="36"/>
  <c r="A936" i="36"/>
  <c r="A937" i="36"/>
  <c r="A938" i="36"/>
  <c r="A939" i="36"/>
  <c r="A940" i="36"/>
  <c r="A941" i="36"/>
  <c r="A942" i="36"/>
  <c r="A943" i="36"/>
  <c r="A944" i="36"/>
  <c r="A945" i="36"/>
  <c r="A946" i="36"/>
  <c r="A947" i="36"/>
  <c r="A948" i="36"/>
  <c r="A949" i="36"/>
  <c r="A950" i="36"/>
  <c r="A951" i="36"/>
  <c r="A952" i="36"/>
  <c r="A953" i="36"/>
  <c r="A954" i="36"/>
  <c r="A955" i="36"/>
  <c r="A956" i="36"/>
  <c r="A957" i="36"/>
  <c r="A958" i="36"/>
  <c r="A959" i="36"/>
  <c r="A960" i="36"/>
  <c r="A961" i="36"/>
  <c r="A962" i="36"/>
  <c r="A963" i="36"/>
  <c r="A964" i="36"/>
  <c r="A965" i="36"/>
  <c r="A966" i="36"/>
  <c r="A967" i="36"/>
  <c r="A968" i="36"/>
  <c r="A969" i="36"/>
  <c r="A970" i="36"/>
  <c r="A971" i="36"/>
  <c r="A972" i="36"/>
  <c r="A973" i="36"/>
  <c r="A974" i="36"/>
  <c r="A975" i="36"/>
  <c r="A976" i="36"/>
  <c r="A977" i="36"/>
  <c r="A978" i="36"/>
  <c r="A979" i="36"/>
  <c r="A980" i="36"/>
  <c r="A981" i="36"/>
  <c r="A982" i="36"/>
  <c r="A983" i="36"/>
  <c r="A984" i="36"/>
  <c r="A985" i="36"/>
  <c r="A986" i="36"/>
  <c r="A987" i="36"/>
  <c r="A988" i="36"/>
  <c r="A989" i="36"/>
  <c r="A990" i="36"/>
  <c r="A991" i="36"/>
  <c r="A992" i="36"/>
  <c r="A993" i="36"/>
  <c r="A994" i="36"/>
  <c r="A995" i="36"/>
  <c r="A996" i="36"/>
  <c r="A997" i="36"/>
  <c r="A998" i="36"/>
  <c r="A999" i="36"/>
  <c r="A1000" i="36"/>
  <c r="A2" i="36"/>
  <c r="K18" i="36" l="1"/>
  <c r="K17" i="36"/>
  <c r="K16" i="36"/>
  <c r="K15" i="36"/>
  <c r="K14" i="36"/>
  <c r="K13" i="36"/>
  <c r="K3" i="36"/>
  <c r="K4" i="36"/>
  <c r="K5" i="36"/>
  <c r="K6" i="36"/>
  <c r="K7" i="36"/>
  <c r="K8" i="36"/>
  <c r="K9" i="36"/>
  <c r="K2" i="36"/>
  <c r="A2" i="7" l="1"/>
</calcChain>
</file>

<file path=xl/sharedStrings.xml><?xml version="1.0" encoding="utf-8"?>
<sst xmlns="http://schemas.openxmlformats.org/spreadsheetml/2006/main" count="637" uniqueCount="192">
  <si>
    <t>Fernando Figueroa</t>
  </si>
  <si>
    <t>Ministerio de Economía y Finanzas</t>
  </si>
  <si>
    <t>Nombre</t>
  </si>
  <si>
    <t>Otros</t>
  </si>
  <si>
    <t>Pedro Portocarrero</t>
  </si>
  <si>
    <t>Crear reportes</t>
  </si>
  <si>
    <t>Máximo</t>
  </si>
  <si>
    <t>sexta</t>
  </si>
  <si>
    <t>octava</t>
  </si>
  <si>
    <t>Dirección General de Endeudamiento y Tesoro Público</t>
  </si>
  <si>
    <t>Dirección de Análisis y Estrategia</t>
  </si>
  <si>
    <t>Oficina de Relaciones con Inversionistas</t>
  </si>
  <si>
    <t>Enviar notificaciones</t>
  </si>
  <si>
    <t xml:space="preserve">                                             Oficina de Relaciones con Inversionistas (investor@mef.gob.pe)</t>
  </si>
  <si>
    <t xml:space="preserve"> </t>
  </si>
  <si>
    <t>Nombre para mostrar</t>
  </si>
  <si>
    <t>Nombre completo</t>
  </si>
  <si>
    <t>Correo</t>
  </si>
  <si>
    <t>Tipo de reporte</t>
  </si>
  <si>
    <t>Reportes y avisos de subasta</t>
  </si>
  <si>
    <t>Tipo</t>
  </si>
  <si>
    <t>Base de datos</t>
  </si>
  <si>
    <t>Reporte</t>
  </si>
  <si>
    <t>Documento</t>
  </si>
  <si>
    <t>Título</t>
  </si>
  <si>
    <t>Enlace</t>
  </si>
  <si>
    <t>Fecha de publicación</t>
  </si>
  <si>
    <t>Alerta</t>
  </si>
  <si>
    <t>Diario</t>
  </si>
  <si>
    <t>Todos los días</t>
  </si>
  <si>
    <t>Reporte de subastas de títulos del Tesoro</t>
  </si>
  <si>
    <t>Situación</t>
  </si>
  <si>
    <t>Al día</t>
  </si>
  <si>
    <t>Semanal</t>
  </si>
  <si>
    <t>Área Responsable</t>
  </si>
  <si>
    <t>Contacto</t>
  </si>
  <si>
    <t>https://www.mef.gob.pe/es/reporte-de-subastas-de-titulos-del-tesoro</t>
  </si>
  <si>
    <t>Viernes siguiente</t>
  </si>
  <si>
    <t>Índice de bonos nominales del Tesoro</t>
  </si>
  <si>
    <t>Índice de bonos reales del Tesoro</t>
  </si>
  <si>
    <t>Última publicación 2/01/2017</t>
  </si>
  <si>
    <t>Desactualizado</t>
  </si>
  <si>
    <t>https://www.mef.gob.pe/es/informes-y-reportes/234-deuda-publica/informes-y-reportes/4385--evolucion-de-los-indices-del-tesoro</t>
  </si>
  <si>
    <t>Rendimiento anual del índice de bonos nominales del Tesoro</t>
  </si>
  <si>
    <t>Rendimiento anual del índice de bonos reales del Tesoro</t>
  </si>
  <si>
    <t>Frecuencia actualización</t>
  </si>
  <si>
    <t>Frecuencia publicación</t>
  </si>
  <si>
    <t>Ranking de los creadores de mercado</t>
  </si>
  <si>
    <t>Mensual</t>
  </si>
  <si>
    <t>Primera semana del siguiente mes</t>
  </si>
  <si>
    <t>https://www.mef.gob.pe/es/ranking-de-los-bancos-creadores-de-mercado</t>
  </si>
  <si>
    <t>Ariel Vargas</t>
  </si>
  <si>
    <t>Reportes de los creadores de mercado</t>
  </si>
  <si>
    <t>Trimestral</t>
  </si>
  <si>
    <t>Última publicación 2012</t>
  </si>
  <si>
    <t>https://www.mef.gob.pe/es/reportes-de-los-creadores-de-mercado</t>
  </si>
  <si>
    <t>Reporte Mensual de bonos soberanos</t>
  </si>
  <si>
    <t>No hay reportes disponibles</t>
  </si>
  <si>
    <t>https://www.mef.gob.pe/es/reporte-mensual-de-bonos-soberanos</t>
  </si>
  <si>
    <t>http://www.mef.gob.pe/index.php?option=com_wrapper&amp;view=wrapper&amp;Itemid=102066&amp;lang=es</t>
  </si>
  <si>
    <t>Reporte de Liquidez de bonos soberanos (Liquidez)</t>
  </si>
  <si>
    <t>Reporte de tenencias de bonos soberanos</t>
  </si>
  <si>
    <t>Quincena del mes siguiente</t>
  </si>
  <si>
    <t>https://www.mef.gob.pe/es/reporte-de-tenencias-de-bonos-soberanos</t>
  </si>
  <si>
    <t>https://www.mef.gob.pe/es/reporte-de-tenencias-de-letras-del-tesoro</t>
  </si>
  <si>
    <t>Reporte de tenencias de letras del Tesoro</t>
  </si>
  <si>
    <t>Reporte de activos y pasivos del Gobierno Central</t>
  </si>
  <si>
    <t>Última publicación 30/09/2016</t>
  </si>
  <si>
    <t>https://www.mef.gob.pe/index.php?option=com_content&amp;view=article&amp;id=3853&amp;catid=234&amp;Itemid=100323&amp;lang=es</t>
  </si>
  <si>
    <t>Ver enlace</t>
  </si>
  <si>
    <t>Reporte trimestral de deuda pública de mediano y largo plazo</t>
  </si>
  <si>
    <t>Última publicación 31/12/2016</t>
  </si>
  <si>
    <t>https://www.mef.gob.pe/es/informes-y-reportes/39-deuda-publica/novedades-de-deuda-publica/1784-inversion-declarada-viable-para-todos-los-niveles-de-gobierno-2004-2010</t>
  </si>
  <si>
    <t>Deuda del sector público</t>
  </si>
  <si>
    <t>https://www.mef.gob.pe/es/estadisticas-sp-18642/deuda-del-sector-publico</t>
  </si>
  <si>
    <t>https://www.mef.gob.pe/es/boletin-diario-de-mercado</t>
  </si>
  <si>
    <t>https://www.mef.gob.pe/es/reporte-de-indicadores-financieros-y-economicos</t>
  </si>
  <si>
    <t>https://www.mef.gob.pe/es/reporte-diario</t>
  </si>
  <si>
    <t>Reporte de Indicadores Económicos y Financieros</t>
  </si>
  <si>
    <t>Boletín Diario de Mercado</t>
  </si>
  <si>
    <t>Reporte Diario (daily)</t>
  </si>
  <si>
    <t>N</t>
  </si>
  <si>
    <t>No hay alerta</t>
  </si>
  <si>
    <t>Dirección de Análisis y Estrategia - DGETP</t>
  </si>
  <si>
    <t>Dirección de Gestión de Mercados Financieros - DGETP</t>
  </si>
  <si>
    <t>Dirección de Gestión de Mercados Financieros - DGETP?</t>
  </si>
  <si>
    <t>Edición</t>
  </si>
  <si>
    <t>Fecha</t>
  </si>
  <si>
    <t>Tipo de letra</t>
  </si>
  <si>
    <t>Vencimiento</t>
  </si>
  <si>
    <t>Demanda</t>
  </si>
  <si>
    <t>Adjudicación</t>
  </si>
  <si>
    <t>Rendimiento</t>
  </si>
  <si>
    <t>primera</t>
  </si>
  <si>
    <t>Tipo de bono</t>
  </si>
  <si>
    <t>Referencial</t>
  </si>
  <si>
    <t>Dirección de Programación, Presupuesto y Contabilidad - DGETP</t>
  </si>
  <si>
    <t>Por confirmar</t>
  </si>
  <si>
    <t>Última publicación 10/04/2017</t>
  </si>
  <si>
    <t>D/A</t>
  </si>
  <si>
    <t>Opciones</t>
  </si>
  <si>
    <t>A continuación tiene información acerca de las calificaciones de riesgo de países de América Latina. Si desea realizar modificaciones, seleccione la opción correspondiente.</t>
  </si>
  <si>
    <t>LPME</t>
  </si>
  <si>
    <t>LPMN</t>
  </si>
  <si>
    <t>Perspectiva</t>
  </si>
  <si>
    <t>Moody's</t>
  </si>
  <si>
    <t>Standard and Poor's</t>
  </si>
  <si>
    <t>Fitch Ratings</t>
  </si>
  <si>
    <t>DBRS</t>
  </si>
  <si>
    <t>NICE Investors Service</t>
  </si>
  <si>
    <t>Argentina</t>
  </si>
  <si>
    <t>ID</t>
  </si>
  <si>
    <t>País</t>
  </si>
  <si>
    <t>Bolivia</t>
  </si>
  <si>
    <t>Brasil</t>
  </si>
  <si>
    <t>Chile</t>
  </si>
  <si>
    <t>Colombia</t>
  </si>
  <si>
    <t>Costa Rica</t>
  </si>
  <si>
    <t>Ecuador</t>
  </si>
  <si>
    <t>El Salvador</t>
  </si>
  <si>
    <t>México</t>
  </si>
  <si>
    <t>Panamá</t>
  </si>
  <si>
    <t>Paraguay</t>
  </si>
  <si>
    <t>Perú</t>
  </si>
  <si>
    <t>Uruguay</t>
  </si>
  <si>
    <t>Venezuela</t>
  </si>
  <si>
    <t>B3</t>
  </si>
  <si>
    <t>Positiva</t>
  </si>
  <si>
    <t>Ba3</t>
  </si>
  <si>
    <t>Negativa</t>
  </si>
  <si>
    <t>Ba2</t>
  </si>
  <si>
    <t>Estable</t>
  </si>
  <si>
    <t>Baa2</t>
  </si>
  <si>
    <t>-</t>
  </si>
  <si>
    <t>A3</t>
  </si>
  <si>
    <t>Ba1</t>
  </si>
  <si>
    <t>B</t>
  </si>
  <si>
    <t>BB</t>
  </si>
  <si>
    <t>AA-</t>
  </si>
  <si>
    <t>BBB</t>
  </si>
  <si>
    <t>BBB+</t>
  </si>
  <si>
    <t>BB-</t>
  </si>
  <si>
    <t>CC</t>
  </si>
  <si>
    <t>A</t>
  </si>
  <si>
    <t>A-</t>
  </si>
  <si>
    <t>A+</t>
  </si>
  <si>
    <t>BBB-</t>
  </si>
  <si>
    <t>B(H)</t>
  </si>
  <si>
    <t>BBB(H)</t>
  </si>
  <si>
    <t>BBB(L)</t>
  </si>
  <si>
    <t>B-</t>
  </si>
  <si>
    <t>BB+</t>
  </si>
  <si>
    <t>NICE</t>
  </si>
  <si>
    <t>B+</t>
  </si>
  <si>
    <t>CCC-</t>
  </si>
  <si>
    <t>Stable</t>
  </si>
  <si>
    <t>Brazil</t>
  </si>
  <si>
    <t>Mexico</t>
  </si>
  <si>
    <t>Peru</t>
  </si>
  <si>
    <t>Panama</t>
  </si>
  <si>
    <t>Calendario de subastas</t>
  </si>
  <si>
    <t>Moody's Investors Service</t>
  </si>
  <si>
    <t>x</t>
  </si>
  <si>
    <t>Última edición de subasta de bonos: décima</t>
  </si>
  <si>
    <t>Última edición de subasta de letras: décimo tercera</t>
  </si>
  <si>
    <t>C</t>
  </si>
  <si>
    <t>000,00</t>
  </si>
  <si>
    <t>Dirección de Planificación Financiera y Estrategia</t>
  </si>
  <si>
    <t>Under Review</t>
  </si>
  <si>
    <t>Caa2</t>
  </si>
  <si>
    <t>SD</t>
  </si>
  <si>
    <t>A1</t>
  </si>
  <si>
    <t>B1</t>
  </si>
  <si>
    <t>Baa1</t>
  </si>
  <si>
    <t>WD</t>
  </si>
  <si>
    <t>BB(L)</t>
  </si>
  <si>
    <t>8 de enero</t>
  </si>
  <si>
    <t>Última edición de subasta: trigésima novena</t>
  </si>
  <si>
    <t>Dirección General del Tesoro Público</t>
  </si>
  <si>
    <t>Administrador</t>
  </si>
  <si>
    <t>Correo electrónico</t>
  </si>
  <si>
    <t>Sexo</t>
  </si>
  <si>
    <t>Fecha registro</t>
  </si>
  <si>
    <t>Institución</t>
  </si>
  <si>
    <t>Fecha de registro</t>
  </si>
  <si>
    <t>Categoría</t>
  </si>
  <si>
    <t>Última edición de subasta de letras: Edición</t>
  </si>
  <si>
    <t>Última edición de subasta de bonos: Edición</t>
  </si>
  <si>
    <t>Sugerencia del día: Hoy es Viernes, es posible que se deban enviar los reportes a partir de las 6pm.</t>
  </si>
  <si>
    <t>Sugerencia del día: Hoy es Viernes, es posible que se deban enviar los reportes diarios a partir de las 6pm.</t>
  </si>
  <si>
    <t>Sugerencia del día: Hoy es Viernes, es posible que se deban enviar los reportes a partir de las 6pm. Hoy se debe subir el reporte semanal de subastas de la semana pasada.</t>
  </si>
  <si>
    <t>Buenas tardes Administrador, son las 17:47 horas del 14 de Octubre de 2022. ¿Qué deseas hacer?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</si>
</sst>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280A]d&quot; de &quot;mmmm&quot; de &quot;yyyy;@"/>
    <numFmt numFmtId="165" formatCode="0.0000%"/>
    <numFmt numFmtId="166" formatCode="0.0000"/>
    <numFmt numFmtId="167" formatCode="dd/mm/yyyy;@"/>
    <numFmt numFmtId="168" formatCode="#0.00"/>
    <numFmt numFmtId="169" formatCode="0.0%"/>
  </numFmts>
  <fonts count="30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 Light"/>
      <family val="2"/>
      <scheme val="major"/>
    </font>
    <font>
      <sz val="16"/>
      <color theme="1"/>
      <name val="Calibri Light"/>
      <family val="2"/>
      <scheme val="major"/>
    </font>
    <font>
      <sz val="1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sz val="11"/>
      <color rgb="FFF3F0F0"/>
      <name val="Calibri"/>
      <family val="2"/>
      <scheme val="minor"/>
    </font>
    <font>
      <sz val="16"/>
      <color theme="1"/>
      <name val="DINPro-Regular"/>
      <family val="3"/>
    </font>
    <font>
      <sz val="18"/>
      <color theme="1"/>
      <name val="DINPro-Regular"/>
      <family val="3"/>
    </font>
    <font>
      <sz val="14"/>
      <color theme="1"/>
      <name val="Calibri Light"/>
      <family val="2"/>
      <scheme val="major"/>
    </font>
    <font>
      <sz val="9"/>
      <color theme="1"/>
      <name val="Calibri Light"/>
      <family val="2"/>
      <scheme val="major"/>
    </font>
    <font>
      <b/>
      <sz val="14"/>
      <color theme="1"/>
      <name val="DINPro-Regular"/>
      <family val="3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theme="1"/>
      <name val="DINPro-Regular"/>
      <family val="3"/>
    </font>
    <font>
      <sz val="12"/>
      <color theme="1"/>
      <name val="DINPro-Regular"/>
      <family val="3"/>
    </font>
    <font>
      <sz val="14"/>
      <color theme="1"/>
      <name val="DINPro-Regular"/>
      <family val="3"/>
    </font>
    <font>
      <b/>
      <sz val="11"/>
      <color theme="1"/>
      <name val="DINPro-Regular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ED3237"/>
      <name val="Calibri"/>
      <family val="2"/>
      <scheme val="minor"/>
    </font>
    <font>
      <b/>
      <sz val="11"/>
      <color rgb="FFFF0000"/>
      <name val="DINPro-Regular"/>
      <family val="3"/>
    </font>
    <font>
      <sz val="10"/>
      <color theme="1"/>
      <name val="Calibri"/>
      <family val="2"/>
      <scheme val="minor"/>
    </font>
    <font>
      <sz val="2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3F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D3237"/>
        <bgColor indexed="64"/>
      </patternFill>
    </fill>
    <fill>
      <patternFill patternType="solid">
        <fgColor rgb="FF606062"/>
        <bgColor indexed="64"/>
      </patternFill>
    </fill>
    <fill>
      <patternFill patternType="solid">
        <fgColor rgb="FF4B4B4D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16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Protection="1">
      <protection locked="0"/>
    </xf>
    <xf numFmtId="0" fontId="4" fillId="0" borderId="0" xfId="1" applyFont="1"/>
    <xf numFmtId="49" fontId="0" fillId="0" borderId="0" xfId="0" applyNumberFormat="1" applyProtection="1">
      <protection locked="0"/>
    </xf>
    <xf numFmtId="0" fontId="0" fillId="2" borderId="0" xfId="0" applyFill="1"/>
    <xf numFmtId="0" fontId="8" fillId="2" borderId="0" xfId="0" applyFont="1" applyFill="1" applyAlignment="1"/>
    <xf numFmtId="0" fontId="0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3" borderId="0" xfId="0" applyFill="1"/>
    <xf numFmtId="0" fontId="3" fillId="3" borderId="0" xfId="0" applyFont="1" applyFill="1"/>
    <xf numFmtId="0" fontId="3" fillId="3" borderId="0" xfId="0" applyFont="1" applyFill="1" applyAlignment="1">
      <alignment vertical="top" wrapText="1"/>
    </xf>
    <xf numFmtId="0" fontId="2" fillId="3" borderId="0" xfId="0" applyFont="1" applyFill="1"/>
    <xf numFmtId="0" fontId="2" fillId="3" borderId="0" xfId="0" applyFont="1" applyFill="1" applyAlignment="1">
      <alignment horizontal="left"/>
    </xf>
    <xf numFmtId="0" fontId="7" fillId="3" borderId="0" xfId="0" applyFont="1" applyFill="1" applyAlignment="1">
      <alignment vertical="top" wrapText="1"/>
    </xf>
    <xf numFmtId="0" fontId="9" fillId="3" borderId="0" xfId="0" applyFont="1" applyFill="1"/>
    <xf numFmtId="0" fontId="8" fillId="3" borderId="0" xfId="0" applyFont="1" applyFill="1" applyAlignment="1"/>
    <xf numFmtId="0" fontId="0" fillId="4" borderId="0" xfId="0" applyFill="1"/>
    <xf numFmtId="0" fontId="8" fillId="6" borderId="0" xfId="0" applyFont="1" applyFill="1" applyAlignment="1">
      <alignment horizontal="center"/>
    </xf>
    <xf numFmtId="0" fontId="10" fillId="3" borderId="0" xfId="0" applyFont="1" applyFill="1"/>
    <xf numFmtId="0" fontId="12" fillId="3" borderId="0" xfId="0" applyFont="1" applyFill="1"/>
    <xf numFmtId="0" fontId="11" fillId="3" borderId="0" xfId="0" applyFont="1" applyFill="1" applyAlignment="1">
      <alignment vertical="top"/>
    </xf>
    <xf numFmtId="0" fontId="8" fillId="0" borderId="0" xfId="0" applyFont="1" applyFill="1" applyAlignment="1"/>
    <xf numFmtId="0" fontId="3" fillId="3" borderId="0" xfId="0" applyFont="1" applyFill="1" applyAlignment="1">
      <alignment vertical="center" wrapText="1"/>
    </xf>
    <xf numFmtId="0" fontId="14" fillId="3" borderId="0" xfId="0" applyFont="1" applyFill="1"/>
    <xf numFmtId="0" fontId="14" fillId="3" borderId="0" xfId="0" applyFont="1" applyFill="1" applyAlignment="1"/>
    <xf numFmtId="0" fontId="0" fillId="0" borderId="0" xfId="0" applyFill="1"/>
    <xf numFmtId="0" fontId="0" fillId="0" borderId="0" xfId="0" applyAlignment="1">
      <alignment horizontal="left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0" fillId="3" borderId="0" xfId="0" applyFont="1" applyFill="1"/>
    <xf numFmtId="0" fontId="17" fillId="3" borderId="0" xfId="0" applyFont="1" applyFill="1" applyAlignment="1">
      <alignment vertical="top" wrapText="1"/>
    </xf>
    <xf numFmtId="0" fontId="5" fillId="3" borderId="0" xfId="0" applyFont="1" applyFill="1" applyAlignment="1">
      <alignment vertical="center" wrapText="1"/>
    </xf>
    <xf numFmtId="0" fontId="5" fillId="3" borderId="0" xfId="0" applyFont="1" applyFill="1" applyAlignment="1">
      <alignment vertical="center"/>
    </xf>
    <xf numFmtId="0" fontId="0" fillId="4" borderId="0" xfId="0" applyFill="1" applyAlignment="1"/>
    <xf numFmtId="0" fontId="18" fillId="0" borderId="0" xfId="0" applyFont="1" applyFill="1"/>
    <xf numFmtId="0" fontId="7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6" fillId="0" borderId="0" xfId="1" applyAlignment="1">
      <alignment horizontal="center"/>
    </xf>
    <xf numFmtId="10" fontId="0" fillId="0" borderId="0" xfId="2" applyNumberFormat="1" applyFont="1"/>
    <xf numFmtId="0" fontId="19" fillId="3" borderId="0" xfId="0" applyFont="1" applyFill="1"/>
    <xf numFmtId="0" fontId="20" fillId="3" borderId="0" xfId="0" applyFont="1" applyFill="1"/>
    <xf numFmtId="0" fontId="21" fillId="3" borderId="0" xfId="0" applyFont="1" applyFill="1"/>
    <xf numFmtId="0" fontId="11" fillId="3" borderId="0" xfId="0" applyFont="1" applyFill="1"/>
    <xf numFmtId="0" fontId="22" fillId="3" borderId="0" xfId="0" applyFont="1" applyFill="1"/>
    <xf numFmtId="0" fontId="19" fillId="3" borderId="0" xfId="0" applyFont="1" applyFill="1" applyAlignment="1"/>
    <xf numFmtId="0" fontId="23" fillId="0" borderId="0" xfId="0" applyFont="1" applyAlignment="1">
      <alignment horizontal="center"/>
    </xf>
    <xf numFmtId="164" fontId="23" fillId="0" borderId="0" xfId="0" applyNumberFormat="1" applyFont="1" applyAlignment="1">
      <alignment horizontal="center"/>
    </xf>
    <xf numFmtId="4" fontId="23" fillId="0" borderId="0" xfId="0" applyNumberFormat="1" applyFont="1" applyAlignment="1">
      <alignment horizontal="center"/>
    </xf>
    <xf numFmtId="165" fontId="23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164" fontId="24" fillId="0" borderId="0" xfId="0" applyNumberFormat="1" applyFont="1" applyAlignment="1">
      <alignment horizontal="center"/>
    </xf>
    <xf numFmtId="4" fontId="24" fillId="0" borderId="0" xfId="0" applyNumberFormat="1" applyFont="1" applyAlignment="1">
      <alignment horizontal="center"/>
    </xf>
    <xf numFmtId="165" fontId="24" fillId="0" borderId="0" xfId="0" applyNumberFormat="1" applyFont="1" applyAlignment="1">
      <alignment horizontal="center"/>
    </xf>
    <xf numFmtId="0" fontId="24" fillId="0" borderId="0" xfId="0" quotePrefix="1" applyFont="1" applyAlignment="1">
      <alignment horizontal="center"/>
    </xf>
    <xf numFmtId="15" fontId="24" fillId="0" borderId="0" xfId="0" quotePrefix="1" applyNumberFormat="1" applyFont="1" applyAlignment="1">
      <alignment horizontal="center"/>
    </xf>
    <xf numFmtId="166" fontId="24" fillId="0" borderId="0" xfId="0" applyNumberFormat="1" applyFont="1" applyAlignment="1">
      <alignment horizontal="center"/>
    </xf>
    <xf numFmtId="3" fontId="0" fillId="0" borderId="0" xfId="0" applyNumberFormat="1"/>
    <xf numFmtId="0" fontId="0" fillId="3" borderId="0" xfId="0" applyFill="1" applyAlignment="1">
      <alignment horizontal="center"/>
    </xf>
    <xf numFmtId="0" fontId="25" fillId="3" borderId="0" xfId="0" applyFont="1" applyFill="1"/>
    <xf numFmtId="0" fontId="22" fillId="3" borderId="0" xfId="0" applyFont="1" applyFill="1" applyAlignment="1">
      <alignment vertical="center"/>
    </xf>
    <xf numFmtId="0" fontId="22" fillId="3" borderId="0" xfId="0" applyFont="1" applyFill="1" applyAlignment="1">
      <alignment horizontal="center"/>
    </xf>
    <xf numFmtId="0" fontId="22" fillId="3" borderId="0" xfId="0" applyFont="1" applyFill="1" applyAlignment="1"/>
    <xf numFmtId="0" fontId="19" fillId="3" borderId="0" xfId="0" applyFont="1" applyFill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19" fillId="3" borderId="1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3" borderId="3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1" xfId="0" applyFont="1" applyBorder="1"/>
    <xf numFmtId="0" fontId="0" fillId="0" borderId="1" xfId="0" quotePrefix="1" applyFont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19" fillId="3" borderId="6" xfId="0" applyFont="1" applyFill="1" applyBorder="1" applyAlignment="1">
      <alignment horizontal="center"/>
    </xf>
    <xf numFmtId="0" fontId="19" fillId="3" borderId="6" xfId="0" applyFont="1" applyFill="1" applyBorder="1"/>
    <xf numFmtId="0" fontId="0" fillId="3" borderId="6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8" fillId="6" borderId="0" xfId="0" applyFont="1" applyFill="1" applyAlignment="1"/>
    <xf numFmtId="0" fontId="8" fillId="5" borderId="0" xfId="0" applyFont="1" applyFill="1" applyAlignment="1"/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vertical="top"/>
    </xf>
    <xf numFmtId="0" fontId="0" fillId="0" borderId="0" xfId="0" applyFont="1"/>
    <xf numFmtId="0" fontId="26" fillId="4" borderId="0" xfId="0" applyFont="1" applyFill="1"/>
    <xf numFmtId="14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  <xf numFmtId="0" fontId="27" fillId="3" borderId="0" xfId="0" applyFont="1" applyFill="1" applyAlignment="1">
      <alignment vertical="center"/>
    </xf>
    <xf numFmtId="9" fontId="0" fillId="0" borderId="0" xfId="2" applyFont="1"/>
    <xf numFmtId="9" fontId="0" fillId="0" borderId="0" xfId="2" applyNumberFormat="1" applyFont="1"/>
    <xf numFmtId="2" fontId="24" fillId="0" borderId="0" xfId="0" applyNumberFormat="1" applyFont="1" applyAlignment="1">
      <alignment horizontal="center"/>
    </xf>
    <xf numFmtId="0" fontId="8" fillId="4" borderId="0" xfId="0" applyFont="1" applyFill="1"/>
    <xf numFmtId="165" fontId="24" fillId="0" borderId="0" xfId="0" applyNumberFormat="1" applyFont="1"/>
    <xf numFmtId="9" fontId="24" fillId="0" borderId="0" xfId="2" applyFont="1"/>
    <xf numFmtId="0" fontId="0" fillId="0" borderId="0" xfId="0"/>
    <xf numFmtId="0" fontId="0" fillId="0" borderId="0" xfId="0" applyAlignment="1">
      <alignment horizontal="center"/>
    </xf>
    <xf numFmtId="165" fontId="24" fillId="0" borderId="0" xfId="2" applyNumberFormat="1" applyFont="1"/>
    <xf numFmtId="168" fontId="24" fillId="0" borderId="0" xfId="0" applyNumberFormat="1" applyFont="1" applyAlignment="1">
      <alignment horizontal="center"/>
    </xf>
    <xf numFmtId="0" fontId="28" fillId="3" borderId="0" xfId="0" applyFont="1" applyFill="1" applyAlignment="1">
      <alignment vertical="center"/>
    </xf>
    <xf numFmtId="169" fontId="0" fillId="0" borderId="0" xfId="2" applyNumberFormat="1" applyFont="1"/>
    <xf numFmtId="169" fontId="0" fillId="0" borderId="0" xfId="2" applyNumberFormat="1" applyFont="1" applyAlignment="1">
      <alignment horizontal="center"/>
    </xf>
    <xf numFmtId="10" fontId="0" fillId="0" borderId="0" xfId="2" applyNumberFormat="1" applyFont="1" applyAlignment="1">
      <alignment horizontal="center"/>
    </xf>
    <xf numFmtId="0" fontId="26" fillId="3" borderId="0" xfId="0" applyFont="1" applyFill="1"/>
    <xf numFmtId="0" fontId="8" fillId="3" borderId="0" xfId="0" applyFont="1" applyFill="1" applyAlignment="1">
      <alignment horizontal="center"/>
    </xf>
    <xf numFmtId="0" fontId="19" fillId="6" borderId="0" xfId="0" applyFont="1" applyFill="1" applyAlignment="1"/>
    <xf numFmtId="0" fontId="19" fillId="5" borderId="0" xfId="0" applyFont="1" applyFill="1" applyAlignment="1"/>
    <xf numFmtId="0" fontId="19" fillId="4" borderId="0" xfId="0" applyFont="1" applyFill="1" applyAlignment="1"/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9" fillId="3" borderId="0" xfId="0" applyFont="1" applyFill="1" applyAlignment="1">
      <alignment vertical="center" wrapText="1"/>
    </xf>
    <xf numFmtId="0" fontId="10" fillId="3" borderId="0" xfId="0" applyFont="1" applyFill="1" applyAlignment="1">
      <alignment horizontal="left" vertical="center" wrapText="1"/>
    </xf>
    <xf numFmtId="0" fontId="7" fillId="3" borderId="0" xfId="0" applyFont="1" applyFill="1" applyAlignment="1">
      <alignment horizontal="left" wrapText="1"/>
    </xf>
    <xf numFmtId="0" fontId="14" fillId="3" borderId="0" xfId="0" applyFont="1" applyFill="1" applyAlignment="1">
      <alignment horizontal="left" wrapText="1"/>
    </xf>
    <xf numFmtId="0" fontId="7" fillId="3" borderId="0" xfId="0" applyFont="1" applyFill="1" applyAlignment="1">
      <alignment horizontal="left" vertical="top" wrapText="1"/>
    </xf>
    <xf numFmtId="0" fontId="7" fillId="3" borderId="0" xfId="0" applyFont="1" applyFill="1" applyAlignment="1">
      <alignment horizontal="left" vertical="center" wrapText="1"/>
    </xf>
    <xf numFmtId="0" fontId="13" fillId="3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0" xfId="0" applyFont="1" applyFill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rgb="FF00B0F0"/>
        </patternFill>
      </fill>
    </dxf>
    <dxf>
      <font>
        <color rgb="FF002060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3237"/>
      <color rgb="FF0594B9"/>
      <color rgb="FF565656"/>
      <color rgb="FF4B4B4D"/>
      <color rgb="FF606062"/>
      <color rgb="FFE5322C"/>
      <color rgb="FFD2D3D5"/>
      <color rgb="FFF3F0F0"/>
      <color rgb="FF1F1D1E"/>
      <color rgb="FFD9D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List" dx="22" fmlaLink="ratings_data!$A$1" fmlaRange="ratings_data!$B$3:$B$16" noThreeD="1" sel="10" val="0"/>
</file>

<file path=xl/ctrlProps/ctrlProp4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326571</xdr:colOff>
          <xdr:row>20</xdr:row>
          <xdr:rowOff>48986</xdr:rowOff>
        </xdr:from>
        <xdr:to>
          <xdr:col>10</xdr:col>
          <xdr:colOff>239486</xdr:colOff>
          <xdr:row>21</xdr:row>
          <xdr:rowOff>179614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Iniciar sesión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251460</xdr:colOff>
      <xdr:row>12</xdr:row>
      <xdr:rowOff>68580</xdr:rowOff>
    </xdr:from>
    <xdr:to>
      <xdr:col>15</xdr:col>
      <xdr:colOff>444409</xdr:colOff>
      <xdr:row>20</xdr:row>
      <xdr:rowOff>24221</xdr:rowOff>
    </xdr:to>
    <xdr:grpSp>
      <xdr:nvGrpSpPr>
        <xdr:cNvPr id="3" name="Grupo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068389" y="2352403"/>
          <a:ext cx="7258866" cy="1482907"/>
          <a:chOff x="3657600" y="2466975"/>
          <a:chExt cx="7038975" cy="1476375"/>
        </a:xfrm>
        <a:solidFill>
          <a:schemeClr val="bg1"/>
        </a:solidFill>
      </xdr:grpSpPr>
      <xdr:sp macro="" textlink="">
        <xdr:nvSpPr>
          <xdr:cNvPr id="4" name="CuadroTexto 22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3705225" y="2466975"/>
            <a:ext cx="6991350" cy="147637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PE" sz="2000">
                <a:solidFill>
                  <a:srgbClr val="1F1D1E"/>
                </a:solidFill>
                <a:latin typeface="DINPro-Regular" panose="02000503030000020004" pitchFamily="50" charset="0"/>
              </a:rPr>
              <a:t>MINISTERIO DE ECONOMÍA Y FINANZAS</a:t>
            </a:r>
          </a:p>
          <a:p>
            <a:r>
              <a:rPr lang="es-PE" sz="2000">
                <a:solidFill>
                  <a:srgbClr val="1F1D1E"/>
                </a:solidFill>
                <a:latin typeface="DINPro-Regular" panose="02000503030000020004" pitchFamily="50" charset="0"/>
              </a:rPr>
              <a:t>Dirección</a:t>
            </a:r>
            <a:r>
              <a:rPr lang="es-PE" sz="2000" baseline="0">
                <a:solidFill>
                  <a:srgbClr val="1F1D1E"/>
                </a:solidFill>
                <a:latin typeface="DINPro-Regular" panose="02000503030000020004" pitchFamily="50" charset="0"/>
              </a:rPr>
              <a:t> General del Tesoro Público</a:t>
            </a:r>
          </a:p>
          <a:p>
            <a:r>
              <a:rPr lang="es-PE" sz="2000" baseline="0">
                <a:solidFill>
                  <a:srgbClr val="1F1D1E"/>
                </a:solidFill>
                <a:latin typeface="DINPro-Regular" panose="02000503030000020004" pitchFamily="50" charset="0"/>
              </a:rPr>
              <a:t>Dirección de Planificación Financiera y Estrategia</a:t>
            </a:r>
          </a:p>
          <a:p>
            <a:r>
              <a:rPr lang="es-PE" sz="2000" baseline="0">
                <a:solidFill>
                  <a:srgbClr val="1F1D1E"/>
                </a:solidFill>
                <a:latin typeface="DINPro-Regular" panose="02000503030000020004" pitchFamily="50" charset="0"/>
              </a:rPr>
              <a:t>Oficina de Relaciones con Inversionistas</a:t>
            </a:r>
            <a:endParaRPr lang="es-PE" sz="2000">
              <a:solidFill>
                <a:srgbClr val="1F1D1E"/>
              </a:solidFill>
              <a:latin typeface="DINPro-Regular" panose="02000503030000020004" pitchFamily="50" charset="0"/>
            </a:endParaRPr>
          </a:p>
        </xdr:txBody>
      </xdr:sp>
      <xdr:cxnSp macro="">
        <xdr:nvCxnSpPr>
          <xdr:cNvPr id="5" name="Conector recto 23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3657600" y="2533649"/>
            <a:ext cx="0" cy="1260000"/>
          </a:xfrm>
          <a:prstGeom prst="line">
            <a:avLst/>
          </a:prstGeom>
          <a:grpFill/>
          <a:ln w="44450">
            <a:solidFill>
              <a:srgbClr val="ED3237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3</xdr:col>
      <xdr:colOff>106680</xdr:colOff>
      <xdr:row>0</xdr:row>
      <xdr:rowOff>91440</xdr:rowOff>
    </xdr:from>
    <xdr:to>
      <xdr:col>6</xdr:col>
      <xdr:colOff>249555</xdr:colOff>
      <xdr:row>3</xdr:row>
      <xdr:rowOff>31933</xdr:rowOff>
    </xdr:to>
    <xdr:pic>
      <xdr:nvPicPr>
        <xdr:cNvPr id="6" name="Imagen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7940" y="91440"/>
          <a:ext cx="2497455" cy="5119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57150</xdr:rowOff>
    </xdr:from>
    <xdr:to>
      <xdr:col>2</xdr:col>
      <xdr:colOff>764480</xdr:colOff>
      <xdr:row>2</xdr:row>
      <xdr:rowOff>238125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0"/>
          <a:ext cx="222180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16</xdr:row>
          <xdr:rowOff>103414</xdr:rowOff>
        </xdr:from>
        <xdr:to>
          <xdr:col>19</xdr:col>
          <xdr:colOff>440871</xdr:colOff>
          <xdr:row>18</xdr:row>
          <xdr:rowOff>10886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 sesión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14</xdr:row>
          <xdr:rowOff>87086</xdr:rowOff>
        </xdr:from>
        <xdr:to>
          <xdr:col>19</xdr:col>
          <xdr:colOff>440871</xdr:colOff>
          <xdr:row>15</xdr:row>
          <xdr:rowOff>179614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18</xdr:row>
          <xdr:rowOff>179614</xdr:rowOff>
        </xdr:from>
        <xdr:to>
          <xdr:col>19</xdr:col>
          <xdr:colOff>440871</xdr:colOff>
          <xdr:row>21</xdr:row>
          <xdr:rowOff>10886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21</xdr:row>
          <xdr:rowOff>174171</xdr:rowOff>
        </xdr:from>
        <xdr:to>
          <xdr:col>19</xdr:col>
          <xdr:colOff>440871</xdr:colOff>
          <xdr:row>23</xdr:row>
          <xdr:rowOff>76200</xdr:rowOff>
        </xdr:to>
        <xdr:sp macro="" textlink="">
          <xdr:nvSpPr>
            <xdr:cNvPr id="10257" name="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1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Acerca de...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14</xdr:row>
          <xdr:rowOff>76200</xdr:rowOff>
        </xdr:from>
        <xdr:to>
          <xdr:col>2</xdr:col>
          <xdr:colOff>408214</xdr:colOff>
          <xdr:row>15</xdr:row>
          <xdr:rowOff>174171</xdr:rowOff>
        </xdr:to>
        <xdr:sp macro="" textlink="">
          <xdr:nvSpPr>
            <xdr:cNvPr id="10258" name="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1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Reportes diarios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103414</xdr:rowOff>
        </xdr:from>
        <xdr:to>
          <xdr:col>2</xdr:col>
          <xdr:colOff>408214</xdr:colOff>
          <xdr:row>18</xdr:row>
          <xdr:rowOff>10886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1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Subasta de letras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18</xdr:row>
          <xdr:rowOff>179614</xdr:rowOff>
        </xdr:from>
        <xdr:to>
          <xdr:col>2</xdr:col>
          <xdr:colOff>408214</xdr:colOff>
          <xdr:row>21</xdr:row>
          <xdr:rowOff>10886</xdr:rowOff>
        </xdr:to>
        <xdr:sp macro="" textlink="">
          <xdr:nvSpPr>
            <xdr:cNvPr id="10260" name="Button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1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Subasta de bonos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18</xdr:row>
          <xdr:rowOff>179614</xdr:rowOff>
        </xdr:from>
        <xdr:to>
          <xdr:col>7</xdr:col>
          <xdr:colOff>609600</xdr:colOff>
          <xdr:row>21</xdr:row>
          <xdr:rowOff>10886</xdr:rowOff>
        </xdr:to>
        <xdr:sp macro="" textlink="">
          <xdr:nvSpPr>
            <xdr:cNvPr id="10261" name="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1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Nacionales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16</xdr:row>
          <xdr:rowOff>103414</xdr:rowOff>
        </xdr:from>
        <xdr:to>
          <xdr:col>7</xdr:col>
          <xdr:colOff>609600</xdr:colOff>
          <xdr:row>18</xdr:row>
          <xdr:rowOff>10886</xdr:rowOff>
        </xdr:to>
        <xdr:sp macro="" textlink="">
          <xdr:nvSpPr>
            <xdr:cNvPr id="10262" name="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1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Internacional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18</xdr:row>
          <xdr:rowOff>179614</xdr:rowOff>
        </xdr:from>
        <xdr:to>
          <xdr:col>11</xdr:col>
          <xdr:colOff>440871</xdr:colOff>
          <xdr:row>21</xdr:row>
          <xdr:rowOff>10886</xdr:rowOff>
        </xdr:to>
        <xdr:sp macro="" textlink="">
          <xdr:nvSpPr>
            <xdr:cNvPr id="10263" name="Button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1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Estado de reportes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14</xdr:row>
          <xdr:rowOff>76200</xdr:rowOff>
        </xdr:from>
        <xdr:to>
          <xdr:col>11</xdr:col>
          <xdr:colOff>440871</xdr:colOff>
          <xdr:row>15</xdr:row>
          <xdr:rowOff>174171</xdr:rowOff>
        </xdr:to>
        <xdr:sp macro="" textlink="">
          <xdr:nvSpPr>
            <xdr:cNvPr id="10264" name="Button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1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 contacto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16</xdr:row>
          <xdr:rowOff>103414</xdr:rowOff>
        </xdr:from>
        <xdr:to>
          <xdr:col>11</xdr:col>
          <xdr:colOff>440871</xdr:colOff>
          <xdr:row>18</xdr:row>
          <xdr:rowOff>10886</xdr:rowOff>
        </xdr:to>
        <xdr:sp macro="" textlink="">
          <xdr:nvSpPr>
            <xdr:cNvPr id="10265" name="Button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1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Credit ratings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14</xdr:row>
          <xdr:rowOff>76200</xdr:rowOff>
        </xdr:from>
        <xdr:to>
          <xdr:col>7</xdr:col>
          <xdr:colOff>609600</xdr:colOff>
          <xdr:row>15</xdr:row>
          <xdr:rowOff>174171</xdr:rowOff>
        </xdr:to>
        <xdr:sp macro="" textlink="">
          <xdr:nvSpPr>
            <xdr:cNvPr id="10266" name="Button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1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21</xdr:row>
          <xdr:rowOff>179614</xdr:rowOff>
        </xdr:from>
        <xdr:to>
          <xdr:col>7</xdr:col>
          <xdr:colOff>609600</xdr:colOff>
          <xdr:row>23</xdr:row>
          <xdr:rowOff>87086</xdr:rowOff>
        </xdr:to>
        <xdr:sp macro="" textlink="">
          <xdr:nvSpPr>
            <xdr:cNvPr id="10267" name="Button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1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Encuestas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57150</xdr:rowOff>
    </xdr:from>
    <xdr:to>
      <xdr:col>2</xdr:col>
      <xdr:colOff>764480</xdr:colOff>
      <xdr:row>2</xdr:row>
      <xdr:rowOff>238125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0"/>
          <a:ext cx="222180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21</xdr:row>
          <xdr:rowOff>179614</xdr:rowOff>
        </xdr:from>
        <xdr:to>
          <xdr:col>11</xdr:col>
          <xdr:colOff>440871</xdr:colOff>
          <xdr:row>23</xdr:row>
          <xdr:rowOff>87086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2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Ecofin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16</xdr:row>
          <xdr:rowOff>103414</xdr:rowOff>
        </xdr:from>
        <xdr:to>
          <xdr:col>20</xdr:col>
          <xdr:colOff>293914</xdr:colOff>
          <xdr:row>18</xdr:row>
          <xdr:rowOff>10886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2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 sesión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14</xdr:row>
          <xdr:rowOff>87086</xdr:rowOff>
        </xdr:from>
        <xdr:to>
          <xdr:col>20</xdr:col>
          <xdr:colOff>293914</xdr:colOff>
          <xdr:row>15</xdr:row>
          <xdr:rowOff>179614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2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18</xdr:row>
          <xdr:rowOff>179614</xdr:rowOff>
        </xdr:from>
        <xdr:to>
          <xdr:col>20</xdr:col>
          <xdr:colOff>293914</xdr:colOff>
          <xdr:row>21</xdr:row>
          <xdr:rowOff>10886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2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21</xdr:row>
          <xdr:rowOff>179614</xdr:rowOff>
        </xdr:from>
        <xdr:to>
          <xdr:col>2</xdr:col>
          <xdr:colOff>408214</xdr:colOff>
          <xdr:row>23</xdr:row>
          <xdr:rowOff>87086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02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semanal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59871</xdr:colOff>
          <xdr:row>21</xdr:row>
          <xdr:rowOff>174171</xdr:rowOff>
        </xdr:from>
        <xdr:to>
          <xdr:col>20</xdr:col>
          <xdr:colOff>293914</xdr:colOff>
          <xdr:row>23</xdr:row>
          <xdr:rowOff>76200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02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la pc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14</xdr:row>
          <xdr:rowOff>76200</xdr:rowOff>
        </xdr:from>
        <xdr:to>
          <xdr:col>2</xdr:col>
          <xdr:colOff>408214</xdr:colOff>
          <xdr:row>15</xdr:row>
          <xdr:rowOff>174171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02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Reportes diarios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103414</xdr:rowOff>
        </xdr:from>
        <xdr:to>
          <xdr:col>2</xdr:col>
          <xdr:colOff>408214</xdr:colOff>
          <xdr:row>18</xdr:row>
          <xdr:rowOff>10886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02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Subasta de letras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18</xdr:row>
          <xdr:rowOff>179614</xdr:rowOff>
        </xdr:from>
        <xdr:to>
          <xdr:col>2</xdr:col>
          <xdr:colOff>408214</xdr:colOff>
          <xdr:row>21</xdr:row>
          <xdr:rowOff>10886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2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Subasta de bonos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18</xdr:row>
          <xdr:rowOff>179614</xdr:rowOff>
        </xdr:from>
        <xdr:to>
          <xdr:col>7</xdr:col>
          <xdr:colOff>609600</xdr:colOff>
          <xdr:row>21</xdr:row>
          <xdr:rowOff>10886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02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Nacionales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16</xdr:row>
          <xdr:rowOff>103414</xdr:rowOff>
        </xdr:from>
        <xdr:to>
          <xdr:col>7</xdr:col>
          <xdr:colOff>609600</xdr:colOff>
          <xdr:row>18</xdr:row>
          <xdr:rowOff>10886</xdr:rowOff>
        </xdr:to>
        <xdr:sp macro="" textlink="">
          <xdr:nvSpPr>
            <xdr:cNvPr id="111627" name="Button 11" hidden="1">
              <a:extLst>
                <a:ext uri="{63B3BB69-23CF-44E3-9099-C40C66FF867C}">
                  <a14:compatExt spid="_x0000_s111627"/>
                </a:ext>
                <a:ext uri="{FF2B5EF4-FFF2-40B4-BE49-F238E27FC236}">
                  <a16:creationId xmlns:a16="http://schemas.microsoft.com/office/drawing/2014/main" id="{00000000-0008-0000-0200-00000B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Internacional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18</xdr:row>
          <xdr:rowOff>179614</xdr:rowOff>
        </xdr:from>
        <xdr:to>
          <xdr:col>11</xdr:col>
          <xdr:colOff>440871</xdr:colOff>
          <xdr:row>21</xdr:row>
          <xdr:rowOff>10886</xdr:rowOff>
        </xdr:to>
        <xdr:sp macro="" textlink="">
          <xdr:nvSpPr>
            <xdr:cNvPr id="111628" name="Button 12" hidden="1">
              <a:extLst>
                <a:ext uri="{63B3BB69-23CF-44E3-9099-C40C66FF867C}">
                  <a14:compatExt spid="_x0000_s111628"/>
                </a:ext>
                <a:ext uri="{FF2B5EF4-FFF2-40B4-BE49-F238E27FC236}">
                  <a16:creationId xmlns:a16="http://schemas.microsoft.com/office/drawing/2014/main" id="{00000000-0008-0000-0200-00000C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Estado de reportes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14</xdr:row>
          <xdr:rowOff>76200</xdr:rowOff>
        </xdr:from>
        <xdr:to>
          <xdr:col>11</xdr:col>
          <xdr:colOff>440871</xdr:colOff>
          <xdr:row>15</xdr:row>
          <xdr:rowOff>174171</xdr:rowOff>
        </xdr:to>
        <xdr:sp macro="" textlink="">
          <xdr:nvSpPr>
            <xdr:cNvPr id="111629" name="Button 13" hidden="1">
              <a:extLst>
                <a:ext uri="{63B3BB69-23CF-44E3-9099-C40C66FF867C}">
                  <a14:compatExt spid="_x0000_s111629"/>
                </a:ext>
                <a:ext uri="{FF2B5EF4-FFF2-40B4-BE49-F238E27FC236}">
                  <a16:creationId xmlns:a16="http://schemas.microsoft.com/office/drawing/2014/main" id="{00000000-0008-0000-0200-00000D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 contacto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59871</xdr:colOff>
          <xdr:row>16</xdr:row>
          <xdr:rowOff>103414</xdr:rowOff>
        </xdr:from>
        <xdr:to>
          <xdr:col>11</xdr:col>
          <xdr:colOff>440871</xdr:colOff>
          <xdr:row>18</xdr:row>
          <xdr:rowOff>10886</xdr:rowOff>
        </xdr:to>
        <xdr:sp macro="" textlink="">
          <xdr:nvSpPr>
            <xdr:cNvPr id="111630" name="Button 14" hidden="1">
              <a:extLst>
                <a:ext uri="{63B3BB69-23CF-44E3-9099-C40C66FF867C}">
                  <a14:compatExt spid="_x0000_s111630"/>
                </a:ext>
                <a:ext uri="{FF2B5EF4-FFF2-40B4-BE49-F238E27FC236}">
                  <a16:creationId xmlns:a16="http://schemas.microsoft.com/office/drawing/2014/main" id="{00000000-0008-0000-0200-00000E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Credit ratings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14</xdr:row>
          <xdr:rowOff>76200</xdr:rowOff>
        </xdr:from>
        <xdr:to>
          <xdr:col>7</xdr:col>
          <xdr:colOff>609600</xdr:colOff>
          <xdr:row>15</xdr:row>
          <xdr:rowOff>174171</xdr:rowOff>
        </xdr:to>
        <xdr:sp macro="" textlink="">
          <xdr:nvSpPr>
            <xdr:cNvPr id="111631" name="Button 15" hidden="1">
              <a:extLst>
                <a:ext uri="{63B3BB69-23CF-44E3-9099-C40C66FF867C}">
                  <a14:compatExt spid="_x0000_s111631"/>
                </a:ext>
                <a:ext uri="{FF2B5EF4-FFF2-40B4-BE49-F238E27FC236}">
                  <a16:creationId xmlns:a16="http://schemas.microsoft.com/office/drawing/2014/main" id="{00000000-0008-0000-0200-00000F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</xdr:colOff>
          <xdr:row>21</xdr:row>
          <xdr:rowOff>179614</xdr:rowOff>
        </xdr:from>
        <xdr:to>
          <xdr:col>7</xdr:col>
          <xdr:colOff>609600</xdr:colOff>
          <xdr:row>23</xdr:row>
          <xdr:rowOff>87086</xdr:rowOff>
        </xdr:to>
        <xdr:sp macro="" textlink="">
          <xdr:nvSpPr>
            <xdr:cNvPr id="111632" name="Button 16" hidden="1">
              <a:extLst>
                <a:ext uri="{63B3BB69-23CF-44E3-9099-C40C66FF867C}">
                  <a14:compatExt spid="_x0000_s111632"/>
                </a:ext>
                <a:ext uri="{FF2B5EF4-FFF2-40B4-BE49-F238E27FC236}">
                  <a16:creationId xmlns:a16="http://schemas.microsoft.com/office/drawing/2014/main" id="{00000000-0008-0000-0200-000010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Encuestas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57150</xdr:rowOff>
    </xdr:from>
    <xdr:to>
      <xdr:col>2</xdr:col>
      <xdr:colOff>764480</xdr:colOff>
      <xdr:row>2</xdr:row>
      <xdr:rowOff>238125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0"/>
          <a:ext cx="222180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59871</xdr:colOff>
          <xdr:row>14</xdr:row>
          <xdr:rowOff>87086</xdr:rowOff>
        </xdr:from>
        <xdr:to>
          <xdr:col>2</xdr:col>
          <xdr:colOff>391886</xdr:colOff>
          <xdr:row>15</xdr:row>
          <xdr:rowOff>179614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3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Ecofin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59871</xdr:colOff>
          <xdr:row>14</xdr:row>
          <xdr:rowOff>97971</xdr:rowOff>
        </xdr:from>
        <xdr:to>
          <xdr:col>5</xdr:col>
          <xdr:colOff>631371</xdr:colOff>
          <xdr:row>15</xdr:row>
          <xdr:rowOff>190500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3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 sesión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59871</xdr:colOff>
          <xdr:row>16</xdr:row>
          <xdr:rowOff>103414</xdr:rowOff>
        </xdr:from>
        <xdr:to>
          <xdr:col>5</xdr:col>
          <xdr:colOff>631371</xdr:colOff>
          <xdr:row>18</xdr:row>
          <xdr:rowOff>10886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3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59871</xdr:colOff>
          <xdr:row>18</xdr:row>
          <xdr:rowOff>163286</xdr:rowOff>
        </xdr:from>
        <xdr:to>
          <xdr:col>5</xdr:col>
          <xdr:colOff>631371</xdr:colOff>
          <xdr:row>20</xdr:row>
          <xdr:rowOff>179614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3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la pc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76200</xdr:rowOff>
        </xdr:from>
        <xdr:to>
          <xdr:col>11</xdr:col>
          <xdr:colOff>457200</xdr:colOff>
          <xdr:row>3</xdr:row>
          <xdr:rowOff>59871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7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27214</xdr:colOff>
          <xdr:row>1</xdr:row>
          <xdr:rowOff>76200</xdr:rowOff>
        </xdr:from>
        <xdr:to>
          <xdr:col>9</xdr:col>
          <xdr:colOff>598714</xdr:colOff>
          <xdr:row>3</xdr:row>
          <xdr:rowOff>59871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7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Regresar 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713014</xdr:colOff>
          <xdr:row>3</xdr:row>
          <xdr:rowOff>125186</xdr:rowOff>
        </xdr:from>
        <xdr:to>
          <xdr:col>10</xdr:col>
          <xdr:colOff>522514</xdr:colOff>
          <xdr:row>5</xdr:row>
          <xdr:rowOff>103414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7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103414</xdr:colOff>
          <xdr:row>1</xdr:row>
          <xdr:rowOff>38100</xdr:rowOff>
        </xdr:from>
        <xdr:to>
          <xdr:col>10</xdr:col>
          <xdr:colOff>674914</xdr:colOff>
          <xdr:row>3</xdr:row>
          <xdr:rowOff>21771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9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1</xdr:row>
          <xdr:rowOff>38100</xdr:rowOff>
        </xdr:from>
        <xdr:to>
          <xdr:col>12</xdr:col>
          <xdr:colOff>713014</xdr:colOff>
          <xdr:row>3</xdr:row>
          <xdr:rowOff>21771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9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Regresar 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27214</xdr:colOff>
          <xdr:row>3</xdr:row>
          <xdr:rowOff>87086</xdr:rowOff>
        </xdr:from>
        <xdr:to>
          <xdr:col>11</xdr:col>
          <xdr:colOff>598714</xdr:colOff>
          <xdr:row>5</xdr:row>
          <xdr:rowOff>65314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9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0</xdr:rowOff>
    </xdr:from>
    <xdr:to>
      <xdr:col>4</xdr:col>
      <xdr:colOff>478730</xdr:colOff>
      <xdr:row>1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95250"/>
          <a:ext cx="222180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560614</xdr:colOff>
          <xdr:row>9</xdr:row>
          <xdr:rowOff>97971</xdr:rowOff>
        </xdr:from>
        <xdr:to>
          <xdr:col>17</xdr:col>
          <xdr:colOff>1050471</xdr:colOff>
          <xdr:row>11</xdr:row>
          <xdr:rowOff>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D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Regresar 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560614</xdr:colOff>
          <xdr:row>12</xdr:row>
          <xdr:rowOff>21771</xdr:rowOff>
        </xdr:from>
        <xdr:to>
          <xdr:col>17</xdr:col>
          <xdr:colOff>1050471</xdr:colOff>
          <xdr:row>13</xdr:row>
          <xdr:rowOff>114300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0D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10886</xdr:colOff>
          <xdr:row>8</xdr:row>
          <xdr:rowOff>59871</xdr:rowOff>
        </xdr:from>
        <xdr:to>
          <xdr:col>3</xdr:col>
          <xdr:colOff>555171</xdr:colOff>
          <xdr:row>17</xdr:row>
          <xdr:rowOff>136071</xdr:rowOff>
        </xdr:to>
        <xdr:sp macro="" textlink="">
          <xdr:nvSpPr>
            <xdr:cNvPr id="88069" name="List Box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0D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14</xdr:row>
          <xdr:rowOff>136071</xdr:rowOff>
        </xdr:from>
        <xdr:to>
          <xdr:col>17</xdr:col>
          <xdr:colOff>1055914</xdr:colOff>
          <xdr:row>16</xdr:row>
          <xdr:rowOff>38100</xdr:rowOff>
        </xdr:to>
        <xdr:sp macro="" textlink="">
          <xdr:nvSpPr>
            <xdr:cNvPr id="88070" name="Button 6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0D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Modificar calificación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542925</xdr:colOff>
      <xdr:row>40</xdr:row>
      <xdr:rowOff>28575</xdr:rowOff>
    </xdr:from>
    <xdr:to>
      <xdr:col>11</xdr:col>
      <xdr:colOff>766616</xdr:colOff>
      <xdr:row>42</xdr:row>
      <xdr:rowOff>47775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7875" y="7524750"/>
          <a:ext cx="1366691" cy="3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5" Type="http://schemas.openxmlformats.org/officeDocument/2006/relationships/ctrlProp" Target="../ctrlProps/ctrlProp27.xml"/><Relationship Id="rId10" Type="http://schemas.openxmlformats.org/officeDocument/2006/relationships/ctrlProp" Target="../ctrlProps/ctrlProp22.xml"/><Relationship Id="rId19" Type="http://schemas.openxmlformats.org/officeDocument/2006/relationships/ctrlProp" Target="../ctrlProps/ctrlProp31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f.gob.pe/es/reporte-mensual-de-bonos-soberanos" TargetMode="External"/><Relationship Id="rId13" Type="http://schemas.openxmlformats.org/officeDocument/2006/relationships/hyperlink" Target="https://www.mef.gob.pe/es/informes-y-reportes/39-deuda-publica/novedades-de-deuda-publica/1784-inversion-declarada-viable-para-todos-los-niveles-de-gobierno-2004-2010" TargetMode="External"/><Relationship Id="rId3" Type="http://schemas.openxmlformats.org/officeDocument/2006/relationships/hyperlink" Target="https://www.mef.gob.pe/es/informes-y-reportes/234-deuda-publica/informes-y-reportes/4385--evolucion-de-los-indices-del-tesoro" TargetMode="External"/><Relationship Id="rId7" Type="http://schemas.openxmlformats.org/officeDocument/2006/relationships/hyperlink" Target="https://www.mef.gob.pe/es/reportes-de-los-creadores-de-mercado" TargetMode="External"/><Relationship Id="rId12" Type="http://schemas.openxmlformats.org/officeDocument/2006/relationships/hyperlink" Target="https://www.mef.gob.pe/index.php?option=com_content&amp;view=article&amp;id=3853&amp;catid=234&amp;Itemid=100323&amp;lang=es" TargetMode="External"/><Relationship Id="rId17" Type="http://schemas.openxmlformats.org/officeDocument/2006/relationships/hyperlink" Target="https://www.mef.gob.pe/es/reporte-diario" TargetMode="External"/><Relationship Id="rId2" Type="http://schemas.openxmlformats.org/officeDocument/2006/relationships/hyperlink" Target="https://www.mef.gob.pe/es/informes-y-reportes/234-deuda-publica/informes-y-reportes/4385--evolucion-de-los-indices-del-tesoro" TargetMode="External"/><Relationship Id="rId16" Type="http://schemas.openxmlformats.org/officeDocument/2006/relationships/hyperlink" Target="https://www.mef.gob.pe/es/reporte-de-indicadores-financieros-y-economicos" TargetMode="External"/><Relationship Id="rId1" Type="http://schemas.openxmlformats.org/officeDocument/2006/relationships/hyperlink" Target="https://www.mef.gob.pe/es/reporte-de-subastas-de-titulos-del-tesoro" TargetMode="External"/><Relationship Id="rId6" Type="http://schemas.openxmlformats.org/officeDocument/2006/relationships/hyperlink" Target="https://www.mef.gob.pe/es/ranking-de-los-bancos-creadores-de-mercado" TargetMode="External"/><Relationship Id="rId11" Type="http://schemas.openxmlformats.org/officeDocument/2006/relationships/hyperlink" Target="https://www.mef.gob.pe/es/reporte-de-tenencias-de-letras-del-tesoro" TargetMode="External"/><Relationship Id="rId5" Type="http://schemas.openxmlformats.org/officeDocument/2006/relationships/hyperlink" Target="https://www.mef.gob.pe/es/informes-y-reportes/234-deuda-publica/informes-y-reportes/4385--evolucion-de-los-indices-del-tesoro" TargetMode="External"/><Relationship Id="rId15" Type="http://schemas.openxmlformats.org/officeDocument/2006/relationships/hyperlink" Target="https://www.mef.gob.pe/es/boletin-diario-de-mercado" TargetMode="External"/><Relationship Id="rId10" Type="http://schemas.openxmlformats.org/officeDocument/2006/relationships/hyperlink" Target="https://www.mef.gob.pe/es/reporte-de-tenencias-de-bonos-soberanos" TargetMode="External"/><Relationship Id="rId4" Type="http://schemas.openxmlformats.org/officeDocument/2006/relationships/hyperlink" Target="https://www.mef.gob.pe/es/informes-y-reportes/234-deuda-publica/informes-y-reportes/4385--evolucion-de-los-indices-del-tesoro" TargetMode="External"/><Relationship Id="rId9" Type="http://schemas.openxmlformats.org/officeDocument/2006/relationships/hyperlink" Target="http://www.mef.gob.pe/index.php?option=com_wrapper&amp;view=wrapper&amp;Itemid=102066&amp;lang=es" TargetMode="External"/><Relationship Id="rId14" Type="http://schemas.openxmlformats.org/officeDocument/2006/relationships/hyperlink" Target="https://www.mef.gob.pe/es/estadisticas-sp-18642/deuda-del-sector-publi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100"/>
  <sheetViews>
    <sheetView tabSelected="1" zoomScaleNormal="100" workbookViewId="0">
      <selection activeCell="K8" sqref="K8"/>
    </sheetView>
  </sheetViews>
  <sheetFormatPr defaultColWidth="11.07421875" defaultRowHeight="14.6"/>
  <cols>
    <col min="1" max="1" width="7.69140625" customWidth="1"/>
    <col min="2" max="2" width="15" customWidth="1"/>
    <col min="3" max="3" width="12.15234375" customWidth="1"/>
  </cols>
  <sheetData>
    <row r="1" spans="1:26" ht="15" customHeight="1">
      <c r="A1" s="35"/>
      <c r="B1" s="35"/>
      <c r="C1" s="35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4"/>
      <c r="T1" s="34"/>
      <c r="U1" s="8"/>
      <c r="V1" s="8"/>
      <c r="W1" s="8"/>
      <c r="X1" s="8"/>
      <c r="Y1" s="8"/>
      <c r="Z1" s="8"/>
    </row>
    <row r="2" spans="1:26" ht="15" customHeight="1">
      <c r="A2" s="35"/>
      <c r="B2" s="35"/>
      <c r="C2" s="35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4"/>
      <c r="T2" s="34"/>
      <c r="U2" s="8"/>
      <c r="V2" s="8"/>
      <c r="W2" s="8"/>
      <c r="X2" s="8"/>
      <c r="Y2" s="8"/>
      <c r="Z2" s="8"/>
    </row>
    <row r="3" spans="1:26" ht="15" customHeight="1">
      <c r="A3" s="35"/>
      <c r="B3" s="35"/>
      <c r="C3" s="35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4"/>
      <c r="T3" s="34"/>
      <c r="U3" s="8"/>
      <c r="V3" s="8"/>
      <c r="W3" s="8"/>
      <c r="X3" s="8"/>
      <c r="Y3" s="8"/>
      <c r="Z3" s="8"/>
    </row>
    <row r="4" spans="1:26" ht="15" customHeight="1">
      <c r="A4" s="35"/>
      <c r="B4" s="35"/>
      <c r="C4" s="35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4"/>
      <c r="T4" s="34"/>
      <c r="U4" s="8"/>
      <c r="V4" s="8"/>
      <c r="W4" s="8"/>
      <c r="X4" s="8"/>
      <c r="Y4" s="8"/>
      <c r="Z4" s="8"/>
    </row>
    <row r="5" spans="1:26" ht="15" customHeight="1">
      <c r="A5" s="35"/>
      <c r="B5" s="35"/>
      <c r="C5" s="35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4"/>
      <c r="T5" s="34"/>
      <c r="U5" s="8"/>
      <c r="V5" s="8"/>
      <c r="W5" s="8"/>
      <c r="X5" s="8"/>
      <c r="Y5" s="8"/>
      <c r="Z5" s="8"/>
    </row>
    <row r="6" spans="1:26" ht="15" customHeight="1">
      <c r="A6" s="35"/>
      <c r="B6" s="35"/>
      <c r="C6" s="35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4"/>
      <c r="T6" s="34"/>
      <c r="U6" s="8"/>
      <c r="V6" s="8"/>
      <c r="W6" s="8"/>
      <c r="X6" s="8"/>
      <c r="Y6" s="8"/>
      <c r="Z6" s="8"/>
    </row>
    <row r="7" spans="1:26" ht="15" customHeight="1">
      <c r="A7" s="35"/>
      <c r="B7" s="35"/>
      <c r="C7" s="35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4"/>
      <c r="T7" s="34"/>
      <c r="U7" s="8"/>
      <c r="V7" s="8"/>
      <c r="W7" s="8"/>
      <c r="X7" s="8"/>
      <c r="Y7" s="8"/>
      <c r="Z7" s="8"/>
    </row>
    <row r="8" spans="1:26" ht="15" customHeight="1">
      <c r="A8" s="35"/>
      <c r="B8" s="35"/>
      <c r="C8" s="35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4"/>
      <c r="T8" s="34"/>
      <c r="U8" s="8"/>
      <c r="V8" s="8"/>
      <c r="W8" s="8"/>
      <c r="X8" s="8"/>
      <c r="Y8" s="8"/>
      <c r="Z8" s="8"/>
    </row>
    <row r="9" spans="1:26" ht="15" customHeight="1">
      <c r="A9" s="35"/>
      <c r="B9" s="35"/>
      <c r="C9" s="35"/>
      <c r="D9" s="33"/>
      <c r="E9" s="33"/>
      <c r="F9" s="33"/>
      <c r="G9" s="116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4"/>
      <c r="T9" s="34"/>
      <c r="U9" s="8"/>
      <c r="V9" s="8"/>
      <c r="W9" s="8"/>
      <c r="X9" s="8"/>
      <c r="Y9" s="8"/>
      <c r="Z9" s="8"/>
    </row>
    <row r="10" spans="1:26" ht="15" customHeight="1">
      <c r="A10" s="35"/>
      <c r="B10" s="35"/>
      <c r="C10" s="35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4"/>
      <c r="T10" s="34"/>
      <c r="U10" s="8"/>
      <c r="V10" s="8"/>
      <c r="W10" s="8"/>
      <c r="X10" s="8"/>
      <c r="Y10" s="8"/>
      <c r="Z10" s="8"/>
    </row>
    <row r="11" spans="1:26" ht="15" customHeight="1">
      <c r="A11" s="35"/>
      <c r="B11" s="35"/>
      <c r="C11" s="35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4"/>
      <c r="T11" s="34"/>
      <c r="U11" s="8"/>
      <c r="V11" s="8"/>
      <c r="W11" s="8"/>
      <c r="X11" s="8"/>
      <c r="Y11" s="8"/>
      <c r="Z11" s="8"/>
    </row>
    <row r="12" spans="1:26" ht="15" customHeight="1">
      <c r="A12" s="35"/>
      <c r="B12" s="35"/>
      <c r="C12" s="35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4"/>
      <c r="T12" s="34"/>
      <c r="U12" s="8"/>
      <c r="V12" s="8"/>
      <c r="W12" s="8"/>
      <c r="X12" s="8"/>
      <c r="Y12" s="8"/>
      <c r="Z12" s="8"/>
    </row>
    <row r="13" spans="1:26" ht="15" customHeight="1">
      <c r="A13" s="35"/>
      <c r="B13" s="35"/>
      <c r="C13" s="35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4"/>
      <c r="T13" s="34"/>
      <c r="U13" s="8"/>
      <c r="V13" s="8"/>
      <c r="W13" s="8"/>
      <c r="X13" s="8"/>
      <c r="Y13" s="8"/>
      <c r="Z13" s="8"/>
    </row>
    <row r="14" spans="1:26" ht="15" customHeight="1">
      <c r="A14" s="35"/>
      <c r="B14" s="35"/>
      <c r="C14" s="35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4"/>
      <c r="T14" s="34"/>
      <c r="U14" s="8"/>
      <c r="V14" s="8"/>
      <c r="W14" s="8"/>
      <c r="X14" s="8"/>
      <c r="Y14" s="8"/>
      <c r="Z14" s="8"/>
    </row>
    <row r="15" spans="1:26" ht="15" customHeight="1">
      <c r="A15" s="35"/>
      <c r="B15" s="35"/>
      <c r="C15" s="35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4"/>
      <c r="T15" s="34"/>
      <c r="U15" s="8"/>
      <c r="V15" s="8"/>
      <c r="W15" s="8"/>
      <c r="X15" s="8"/>
      <c r="Y15" s="8"/>
      <c r="Z15" s="8"/>
    </row>
    <row r="16" spans="1:26" ht="15" customHeight="1">
      <c r="A16" s="35"/>
      <c r="B16" s="35"/>
      <c r="C16" s="35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4"/>
      <c r="T16" s="34"/>
      <c r="U16" s="8"/>
      <c r="V16" s="8"/>
      <c r="W16" s="8"/>
      <c r="X16" s="8"/>
      <c r="Y16" s="8"/>
      <c r="Z16" s="8"/>
    </row>
    <row r="17" spans="1:26" ht="15" customHeight="1">
      <c r="A17" s="35"/>
      <c r="B17" s="35"/>
      <c r="C17" s="35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4"/>
      <c r="T17" s="34"/>
      <c r="U17" s="8"/>
      <c r="V17" s="8"/>
      <c r="W17" s="8"/>
      <c r="X17" s="8"/>
      <c r="Y17" s="8"/>
      <c r="Z17" s="8"/>
    </row>
    <row r="18" spans="1:26" ht="15" customHeight="1">
      <c r="A18" s="35"/>
      <c r="B18" s="35"/>
      <c r="C18" s="35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4"/>
      <c r="T18" s="34"/>
      <c r="U18" s="8"/>
      <c r="V18" s="8"/>
      <c r="W18" s="8"/>
      <c r="X18" s="8"/>
      <c r="Y18" s="8"/>
      <c r="Z18" s="8"/>
    </row>
    <row r="19" spans="1:26" ht="15" customHeight="1">
      <c r="A19" s="35"/>
      <c r="B19" s="35"/>
      <c r="C19" s="35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4"/>
      <c r="T19" s="34"/>
      <c r="U19" s="8"/>
      <c r="V19" s="8"/>
      <c r="W19" s="8"/>
      <c r="X19" s="8"/>
      <c r="Y19" s="8"/>
      <c r="Z19" s="8"/>
    </row>
    <row r="20" spans="1:26" ht="15" customHeight="1">
      <c r="A20" s="35"/>
      <c r="B20" s="35"/>
      <c r="C20" s="35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4"/>
      <c r="T20" s="34"/>
      <c r="U20" s="8"/>
      <c r="V20" s="8"/>
      <c r="W20" s="8"/>
      <c r="X20" s="8"/>
      <c r="Y20" s="8"/>
      <c r="Z20" s="8"/>
    </row>
    <row r="21" spans="1:26" ht="15" customHeight="1">
      <c r="A21" s="35"/>
      <c r="B21" s="35"/>
      <c r="C21" s="35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4"/>
      <c r="T21" s="34"/>
      <c r="U21" s="8"/>
      <c r="V21" s="8"/>
      <c r="W21" s="8"/>
      <c r="X21" s="8"/>
      <c r="Y21" s="8"/>
      <c r="Z21" s="8"/>
    </row>
    <row r="22" spans="1:26" ht="15" customHeight="1">
      <c r="A22" s="35"/>
      <c r="B22" s="35"/>
      <c r="C22" s="35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4"/>
      <c r="T22" s="34"/>
      <c r="U22" s="8"/>
      <c r="V22" s="8"/>
      <c r="W22" s="8"/>
      <c r="X22" s="8"/>
      <c r="Y22" s="8"/>
      <c r="Z22" s="8"/>
    </row>
    <row r="23" spans="1:26" ht="15" customHeight="1">
      <c r="A23" s="35"/>
      <c r="B23" s="35"/>
      <c r="C23" s="35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4"/>
      <c r="T23" s="34"/>
      <c r="U23" s="8"/>
      <c r="V23" s="8"/>
      <c r="W23" s="8"/>
      <c r="X23" s="8"/>
      <c r="Y23" s="8"/>
      <c r="Z23" s="8"/>
    </row>
    <row r="24" spans="1:26" ht="15" customHeight="1">
      <c r="A24" s="35"/>
      <c r="B24" s="35"/>
      <c r="C24" s="35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4"/>
      <c r="T24" s="34"/>
      <c r="U24" s="8"/>
      <c r="V24" s="8"/>
      <c r="W24" s="8"/>
      <c r="X24" s="8"/>
      <c r="Y24" s="8"/>
      <c r="Z24" s="8"/>
    </row>
    <row r="25" spans="1:26" ht="15" customHeight="1">
      <c r="A25" s="35"/>
      <c r="B25" s="35"/>
      <c r="C25" s="35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4"/>
      <c r="T25" s="34"/>
      <c r="U25" s="8"/>
      <c r="V25" s="8"/>
      <c r="W25" s="8"/>
      <c r="X25" s="8"/>
      <c r="Y25" s="8"/>
      <c r="Z25" s="8"/>
    </row>
    <row r="26" spans="1:26" ht="15" customHeight="1">
      <c r="A26" s="35"/>
      <c r="B26" s="35"/>
      <c r="C26" s="35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4"/>
      <c r="T26" s="34"/>
      <c r="U26" s="8"/>
      <c r="V26" s="8"/>
      <c r="W26" s="8"/>
      <c r="X26" s="8"/>
      <c r="Y26" s="8"/>
      <c r="Z26" s="8"/>
    </row>
    <row r="27" spans="1:26" ht="15" customHeight="1">
      <c r="A27" s="35"/>
      <c r="B27" s="35"/>
      <c r="C27" s="35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4"/>
      <c r="T27" s="34"/>
      <c r="U27" s="8"/>
      <c r="V27" s="8"/>
      <c r="W27" s="8"/>
      <c r="X27" s="8"/>
      <c r="Y27" s="8"/>
      <c r="Z27" s="8"/>
    </row>
    <row r="28" spans="1:26" ht="15" customHeight="1">
      <c r="A28" s="35"/>
      <c r="B28" s="35"/>
      <c r="C28" s="35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4"/>
      <c r="T28" s="34"/>
      <c r="U28" s="8"/>
      <c r="V28" s="8"/>
      <c r="W28" s="8"/>
      <c r="X28" s="8"/>
      <c r="Y28" s="8"/>
      <c r="Z28" s="8"/>
    </row>
    <row r="29" spans="1:26" ht="15" customHeight="1">
      <c r="A29" s="35"/>
      <c r="B29" s="35"/>
      <c r="C29" s="35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4"/>
      <c r="T29" s="34"/>
      <c r="U29" s="8"/>
      <c r="V29" s="8"/>
      <c r="W29" s="8"/>
      <c r="X29" s="8"/>
      <c r="Y29" s="8"/>
      <c r="Z29" s="8"/>
    </row>
    <row r="30" spans="1:26" ht="15" customHeight="1">
      <c r="A30" s="35"/>
      <c r="B30" s="35"/>
      <c r="C30" s="35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4"/>
      <c r="T30" s="34"/>
      <c r="U30" s="8"/>
      <c r="V30" s="8"/>
      <c r="W30" s="8"/>
      <c r="X30" s="8"/>
      <c r="Y30" s="8"/>
      <c r="Z30" s="8"/>
    </row>
    <row r="31" spans="1:26" ht="15" customHeight="1">
      <c r="A31" s="35"/>
      <c r="B31" s="35"/>
      <c r="C31" s="35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4"/>
      <c r="T31" s="34"/>
      <c r="U31" s="8"/>
      <c r="V31" s="8"/>
      <c r="W31" s="8"/>
      <c r="X31" s="8"/>
      <c r="Y31" s="8"/>
      <c r="Z31" s="8"/>
    </row>
    <row r="32" spans="1:26" ht="15" customHeight="1">
      <c r="A32" s="35"/>
      <c r="B32" s="35"/>
      <c r="C32" s="35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4"/>
      <c r="T32" s="34"/>
      <c r="U32" s="8"/>
      <c r="V32" s="8"/>
      <c r="W32" s="8"/>
      <c r="X32" s="8"/>
      <c r="Y32" s="8"/>
      <c r="Z32" s="8"/>
    </row>
    <row r="33" spans="1:26" ht="15" customHeight="1">
      <c r="A33" s="35"/>
      <c r="B33" s="35"/>
      <c r="C33" s="35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4"/>
      <c r="T33" s="34"/>
      <c r="U33" s="8"/>
      <c r="V33" s="8"/>
      <c r="W33" s="8"/>
      <c r="X33" s="8"/>
      <c r="Y33" s="8"/>
      <c r="Z33" s="8"/>
    </row>
    <row r="34" spans="1:26" ht="15" customHeight="1">
      <c r="A34" s="35"/>
      <c r="B34" s="35"/>
      <c r="C34" s="35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8"/>
      <c r="V34" s="8"/>
      <c r="W34" s="8"/>
      <c r="X34" s="8"/>
      <c r="Y34" s="8"/>
      <c r="Z34" s="8"/>
    </row>
    <row r="35" spans="1:26" ht="15" customHeight="1">
      <c r="A35" s="35"/>
      <c r="B35" s="35"/>
      <c r="C35" s="35"/>
      <c r="D35" s="105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8"/>
      <c r="V35" s="8"/>
      <c r="W35" s="8"/>
      <c r="X35" s="8"/>
      <c r="Y35" s="8"/>
      <c r="Z35" s="8"/>
    </row>
    <row r="36" spans="1:26" ht="15" customHeight="1">
      <c r="A36" s="35"/>
      <c r="B36" s="35"/>
      <c r="C36" s="35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8"/>
      <c r="V36" s="8"/>
      <c r="W36" s="8"/>
      <c r="X36" s="8"/>
      <c r="Y36" s="8"/>
      <c r="Z36" s="8"/>
    </row>
    <row r="37" spans="1:26" ht="15" customHeight="1">
      <c r="A37" s="35"/>
      <c r="B37" s="35"/>
      <c r="C37" s="35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8"/>
      <c r="V37" s="8"/>
      <c r="W37" s="8"/>
      <c r="X37" s="8"/>
      <c r="Y37" s="8"/>
      <c r="Z37" s="8"/>
    </row>
    <row r="38" spans="1:26" ht="15" customHeight="1">
      <c r="A38" s="35"/>
      <c r="B38" s="35"/>
      <c r="C38" s="35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8"/>
      <c r="V38" s="8"/>
      <c r="W38" s="8"/>
      <c r="X38" s="8"/>
      <c r="Y38" s="8"/>
      <c r="Z38" s="8"/>
    </row>
    <row r="39" spans="1:26" ht="15" customHeight="1">
      <c r="A39" s="35"/>
      <c r="B39" s="35"/>
      <c r="C39" s="35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8"/>
      <c r="V39" s="8"/>
      <c r="W39" s="8"/>
      <c r="X39" s="8"/>
      <c r="Y39" s="8"/>
      <c r="Z39" s="8"/>
    </row>
    <row r="40" spans="1:26" ht="15" customHeight="1">
      <c r="A40" s="35"/>
      <c r="B40" s="35"/>
      <c r="C40" s="35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8"/>
      <c r="V40" s="8"/>
      <c r="W40" s="8"/>
      <c r="X40" s="8"/>
      <c r="Y40" s="8"/>
      <c r="Z40" s="8"/>
    </row>
    <row r="41" spans="1:26">
      <c r="A41" s="16"/>
      <c r="B41" s="16"/>
      <c r="C41" s="16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1:26">
      <c r="A42" s="16"/>
      <c r="B42" s="16"/>
      <c r="C42" s="16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1:26">
      <c r="A43" s="16"/>
      <c r="B43" s="16"/>
      <c r="C43" s="16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1:26">
      <c r="A44" s="16"/>
      <c r="B44" s="16"/>
      <c r="C44" s="16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1:26">
      <c r="A45" s="16"/>
      <c r="B45" s="16"/>
      <c r="C45" s="16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1:26">
      <c r="A46" s="16"/>
      <c r="B46" s="16"/>
      <c r="C46" s="16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1:26">
      <c r="A47" s="16"/>
      <c r="B47" s="16"/>
      <c r="C47" s="16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1:26">
      <c r="A48" s="16"/>
      <c r="B48" s="16"/>
      <c r="C48" s="16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1:26">
      <c r="A49" s="16"/>
      <c r="B49" s="16"/>
      <c r="C49" s="16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1:26">
      <c r="A50" s="16"/>
      <c r="B50" s="16"/>
      <c r="C50" s="16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1:26">
      <c r="A51" s="16"/>
      <c r="B51" s="16"/>
      <c r="C51" s="16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1:26">
      <c r="A52" s="16"/>
      <c r="B52" s="16"/>
      <c r="C52" s="16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1:26">
      <c r="A53" s="16"/>
      <c r="B53" s="16"/>
      <c r="C53" s="16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1:26">
      <c r="A54" s="16"/>
      <c r="B54" s="16"/>
      <c r="C54" s="16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1:26">
      <c r="A55" s="16"/>
      <c r="B55" s="16"/>
      <c r="C55" s="16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1:26">
      <c r="A56" s="16"/>
      <c r="B56" s="16"/>
      <c r="C56" s="16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1:26">
      <c r="A57" s="16"/>
      <c r="B57" s="16"/>
      <c r="C57" s="16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1:26">
      <c r="A58" s="16"/>
      <c r="B58" s="16"/>
      <c r="C58" s="16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1:26">
      <c r="A59" s="16"/>
      <c r="B59" s="16"/>
      <c r="C59" s="16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1:26">
      <c r="A60" s="16"/>
      <c r="B60" s="16"/>
      <c r="C60" s="16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1:26">
      <c r="A61" s="16"/>
      <c r="B61" s="16"/>
      <c r="C61" s="16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1:26">
      <c r="A62" s="16"/>
      <c r="B62" s="16"/>
      <c r="C62" s="16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26">
      <c r="A63" s="16"/>
      <c r="B63" s="16"/>
      <c r="C63" s="16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1:26">
      <c r="A64" s="16"/>
      <c r="B64" s="16"/>
      <c r="C64" s="16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1:26">
      <c r="A65" s="16"/>
      <c r="B65" s="16"/>
      <c r="C65" s="16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1:26">
      <c r="A66" s="16"/>
      <c r="B66" s="16"/>
      <c r="C66" s="16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1:26">
      <c r="A67" s="16"/>
      <c r="B67" s="16"/>
      <c r="C67" s="16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1:26">
      <c r="A68" s="16"/>
      <c r="B68" s="16"/>
      <c r="C68" s="16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1:26">
      <c r="A69" s="16"/>
      <c r="B69" s="16"/>
      <c r="C69" s="16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1:26">
      <c r="A70" s="16"/>
      <c r="B70" s="16"/>
      <c r="C70" s="16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26">
      <c r="A71" s="16"/>
      <c r="B71" s="16"/>
      <c r="C71" s="16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1:26">
      <c r="A72" s="16"/>
      <c r="B72" s="16"/>
      <c r="C72" s="16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1:26">
      <c r="A73" s="16"/>
      <c r="B73" s="16"/>
      <c r="C73" s="16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1:26">
      <c r="A74" s="16"/>
      <c r="B74" s="16"/>
      <c r="C74" s="16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1:26">
      <c r="A75" s="16"/>
      <c r="B75" s="16"/>
      <c r="C75" s="16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1:26">
      <c r="A76" s="16"/>
      <c r="B76" s="16"/>
      <c r="C76" s="16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1:26">
      <c r="A77" s="16"/>
      <c r="B77" s="16"/>
      <c r="C77" s="16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1:26">
      <c r="A78" s="16"/>
      <c r="B78" s="16"/>
      <c r="C78" s="16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1:26">
      <c r="A79" s="16"/>
      <c r="B79" s="16"/>
      <c r="C79" s="16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1:26">
      <c r="A80" s="16"/>
      <c r="B80" s="16"/>
      <c r="C80" s="16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1:26">
      <c r="A81" s="16"/>
      <c r="B81" s="16"/>
      <c r="C81" s="16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1:26">
      <c r="A82" s="16"/>
      <c r="B82" s="16"/>
      <c r="C82" s="16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1:26">
      <c r="A83" s="16"/>
      <c r="B83" s="16"/>
      <c r="C83" s="16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1:26">
      <c r="A84" s="16"/>
      <c r="B84" s="16"/>
      <c r="C84" s="16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1:26">
      <c r="A85" s="16"/>
      <c r="B85" s="16"/>
      <c r="C85" s="16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1:26">
      <c r="A86" s="16"/>
      <c r="B86" s="16"/>
      <c r="C86" s="16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26">
      <c r="A87" s="16"/>
      <c r="B87" s="16"/>
      <c r="C87" s="1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1:26">
      <c r="A88" s="16"/>
      <c r="B88" s="16"/>
      <c r="C88" s="16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1:26">
      <c r="A89" s="16"/>
      <c r="B89" s="16"/>
      <c r="C89" s="16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1:26">
      <c r="A90" s="16"/>
      <c r="B90" s="16"/>
      <c r="C90" s="16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1:26">
      <c r="A91" s="16"/>
      <c r="B91" s="16"/>
      <c r="C91" s="16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1:26">
      <c r="A92" s="16"/>
      <c r="B92" s="16"/>
      <c r="C92" s="16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1:26">
      <c r="A93" s="16"/>
      <c r="B93" s="16"/>
      <c r="C93" s="16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1:26">
      <c r="A94" s="16"/>
      <c r="B94" s="16"/>
      <c r="C94" s="16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1:26">
      <c r="A95" s="16"/>
      <c r="B95" s="16"/>
      <c r="C95" s="16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1:26">
      <c r="A96" s="16"/>
      <c r="B96" s="16"/>
      <c r="C96" s="16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1:26">
      <c r="A97" s="16"/>
      <c r="B97" s="16"/>
      <c r="C97" s="16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1:26">
      <c r="A98" s="16"/>
      <c r="B98" s="16"/>
      <c r="C98" s="16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1:26">
      <c r="A99" s="16"/>
      <c r="B99" s="16"/>
      <c r="C99" s="16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1:26">
      <c r="A100" s="16"/>
      <c r="B100" s="16"/>
      <c r="C100" s="16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session">
                <anchor moveWithCells="1" sizeWithCells="1">
                  <from>
                    <xdr:col>8</xdr:col>
                    <xdr:colOff>326571</xdr:colOff>
                    <xdr:row>20</xdr:row>
                    <xdr:rowOff>48986</xdr:rowOff>
                  </from>
                  <to>
                    <xdr:col>10</xdr:col>
                    <xdr:colOff>239486</xdr:colOff>
                    <xdr:row>21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8"/>
  <dimension ref="A1:AG43"/>
  <sheetViews>
    <sheetView topLeftCell="A8" zoomScaleNormal="100" workbookViewId="0">
      <selection activeCell="N23" sqref="N23"/>
    </sheetView>
  </sheetViews>
  <sheetFormatPr defaultColWidth="11.3828125" defaultRowHeight="14.6"/>
  <cols>
    <col min="1" max="1" width="7.69140625" style="4" customWidth="1"/>
    <col min="2" max="2" width="15" style="4" customWidth="1"/>
    <col min="3" max="3" width="12.15234375" style="4" customWidth="1"/>
    <col min="4" max="4" width="1.3828125" style="4" customWidth="1"/>
    <col min="5" max="5" width="11.3828125" style="4"/>
    <col min="6" max="6" width="7.3828125" style="4" customWidth="1"/>
    <col min="7" max="7" width="11.69140625" style="4" customWidth="1"/>
    <col min="8" max="8" width="11.3828125" style="4"/>
    <col min="9" max="9" width="6" style="4" customWidth="1"/>
    <col min="10" max="10" width="6.3046875" style="4" customWidth="1"/>
    <col min="11" max="11" width="14.3046875" style="4" customWidth="1"/>
    <col min="12" max="12" width="12.84375" style="4" customWidth="1"/>
    <col min="13" max="13" width="4" style="4" customWidth="1"/>
    <col min="14" max="14" width="7.3828125" style="4" customWidth="1"/>
    <col min="15" max="15" width="11.3828125" style="4" customWidth="1"/>
    <col min="16" max="16" width="9" style="4" customWidth="1"/>
    <col min="17" max="17" width="10.3046875" style="4" customWidth="1"/>
    <col min="18" max="18" width="5" style="4" customWidth="1"/>
    <col min="19" max="19" width="9.3046875" style="4" customWidth="1"/>
    <col min="20" max="20" width="10" style="4" customWidth="1"/>
    <col min="21" max="21" width="2.15234375" style="4" customWidth="1"/>
    <col min="22" max="22" width="8.53515625" style="4" customWidth="1"/>
    <col min="23" max="23" width="2.15234375" style="4" customWidth="1"/>
    <col min="24" max="24" width="8.53515625" style="4" customWidth="1"/>
    <col min="25" max="16384" width="11.3828125" style="4"/>
  </cols>
  <sheetData>
    <row r="1" spans="1:29" ht="10.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ht="22.5" customHeight="1">
      <c r="A2" s="8"/>
      <c r="B2" s="8"/>
      <c r="C2" s="8"/>
      <c r="D2" s="8"/>
      <c r="E2" s="20" t="s">
        <v>178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ht="20.6">
      <c r="A3" s="8"/>
      <c r="B3" s="8"/>
      <c r="C3" s="8"/>
      <c r="D3" s="8"/>
      <c r="E3" s="18" t="s">
        <v>167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ht="18.45">
      <c r="A4" s="8"/>
      <c r="B4" s="8"/>
      <c r="C4" s="8"/>
      <c r="D4" s="8"/>
      <c r="E4" s="43" t="s">
        <v>11</v>
      </c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29" ht="7.5" customHeight="1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>
      <c r="A6" s="16"/>
      <c r="B6" s="16"/>
      <c r="C6" s="16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ht="20.6">
      <c r="A7" s="16"/>
      <c r="B7" s="16"/>
      <c r="C7" s="16"/>
      <c r="D7" s="8"/>
      <c r="E7" s="18" t="s">
        <v>191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ht="15" customHeight="1">
      <c r="A8" s="16"/>
      <c r="B8" s="16"/>
      <c r="C8" s="16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ht="15" customHeight="1">
      <c r="A9" s="16"/>
      <c r="B9" s="16"/>
      <c r="C9" s="16"/>
      <c r="D9" s="8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8"/>
      <c r="W9" s="8"/>
      <c r="X9" s="8"/>
      <c r="Y9" s="8"/>
      <c r="Z9" s="8"/>
      <c r="AA9" s="8"/>
      <c r="AB9" s="8"/>
      <c r="AC9" s="8"/>
    </row>
    <row r="10" spans="1:29" ht="21.75" customHeight="1">
      <c r="A10" s="16"/>
      <c r="B10" s="16"/>
      <c r="C10" s="16"/>
      <c r="D10" s="8"/>
      <c r="E10" s="117" t="s">
        <v>190</v>
      </c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8"/>
      <c r="X10" s="8"/>
      <c r="Y10" s="8"/>
      <c r="Z10" s="8"/>
      <c r="AA10" s="8"/>
      <c r="AB10" s="8"/>
      <c r="AC10" s="8"/>
    </row>
    <row r="11" spans="1:29" ht="21.75" customHeight="1">
      <c r="A11" s="16"/>
      <c r="B11" s="16"/>
      <c r="C11" s="16"/>
      <c r="D11" s="8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8"/>
      <c r="X11" s="8"/>
      <c r="Y11" s="8"/>
      <c r="Z11" s="8"/>
      <c r="AA11" s="8"/>
      <c r="AB11" s="8"/>
      <c r="AC11" s="8"/>
    </row>
    <row r="12" spans="1:29" ht="21" customHeight="1">
      <c r="A12" s="16"/>
      <c r="B12" s="16"/>
      <c r="C12" s="16"/>
      <c r="D12" s="8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8"/>
      <c r="X12" s="8"/>
      <c r="Y12" s="8"/>
      <c r="Z12" s="8"/>
      <c r="AA12" s="8"/>
      <c r="AB12" s="8"/>
      <c r="AC12" s="8"/>
    </row>
    <row r="13" spans="1:29" ht="15" customHeight="1">
      <c r="A13" s="8"/>
      <c r="B13" s="8"/>
      <c r="C13" s="8"/>
      <c r="D13" s="8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8"/>
      <c r="W13" s="8"/>
      <c r="X13" s="8"/>
      <c r="Y13" s="8"/>
      <c r="Z13" s="8"/>
      <c r="AA13" s="8"/>
      <c r="AB13" s="8"/>
      <c r="AC13" s="8"/>
    </row>
    <row r="14" spans="1:29" ht="21" customHeight="1">
      <c r="A14" s="8"/>
      <c r="B14" s="23" t="s">
        <v>19</v>
      </c>
      <c r="C14" s="8"/>
      <c r="D14" s="8"/>
      <c r="E14" s="24"/>
      <c r="F14" s="25"/>
      <c r="G14" s="24" t="s">
        <v>12</v>
      </c>
      <c r="H14" s="24"/>
      <c r="I14" s="10"/>
      <c r="J14" s="10"/>
      <c r="K14" s="30" t="s">
        <v>100</v>
      </c>
      <c r="L14" s="10"/>
      <c r="M14" s="119" t="s">
        <v>160</v>
      </c>
      <c r="N14" s="119"/>
      <c r="O14" s="119"/>
      <c r="P14" s="119"/>
      <c r="Q14" s="24"/>
      <c r="R14" s="24" t="s">
        <v>3</v>
      </c>
      <c r="S14" s="10"/>
      <c r="T14" s="10"/>
      <c r="U14" s="10"/>
      <c r="V14" s="8"/>
      <c r="W14" s="8"/>
      <c r="X14" s="8"/>
      <c r="Y14" s="8"/>
      <c r="Z14" s="8"/>
      <c r="AA14" s="8"/>
      <c r="AB14" s="8"/>
      <c r="AC14" s="8"/>
    </row>
    <row r="15" spans="1:2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 t="s">
        <v>162</v>
      </c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 ht="18.45">
      <c r="A16" s="8"/>
      <c r="B16" s="8"/>
      <c r="C16" s="8"/>
      <c r="D16" s="8"/>
      <c r="E16" s="11"/>
      <c r="F16" s="8"/>
      <c r="G16" s="8"/>
      <c r="H16" s="12"/>
      <c r="I16" s="8"/>
      <c r="J16" s="8"/>
      <c r="K16" s="12"/>
      <c r="L16" s="8"/>
      <c r="M16" s="120" t="s">
        <v>186</v>
      </c>
      <c r="N16" s="120"/>
      <c r="O16" s="120"/>
      <c r="P16" s="120"/>
      <c r="Q16" s="8"/>
      <c r="R16" s="8"/>
      <c r="S16" s="8"/>
      <c r="T16" s="11"/>
      <c r="U16" s="8"/>
      <c r="V16" s="8"/>
      <c r="W16" s="8"/>
      <c r="X16" s="8"/>
      <c r="Y16" s="8"/>
      <c r="Z16" s="8"/>
      <c r="AA16" s="8"/>
      <c r="AB16" s="8"/>
      <c r="AC16" s="8"/>
    </row>
    <row r="17" spans="1:2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120"/>
      <c r="N17" s="120"/>
      <c r="O17" s="120"/>
      <c r="P17" s="120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</row>
    <row r="18" spans="1:29" ht="15" customHeight="1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18" t="s">
        <v>187</v>
      </c>
      <c r="N18" s="118"/>
      <c r="O18" s="118"/>
      <c r="P18" s="11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 ht="15" customHeight="1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118"/>
      <c r="N19" s="118"/>
      <c r="O19" s="118"/>
      <c r="P19" s="11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</row>
    <row r="20" spans="1:29" ht="6" customHeight="1">
      <c r="A20" s="8"/>
      <c r="B20" s="8"/>
      <c r="C20" s="31"/>
      <c r="D20" s="31"/>
      <c r="E20" s="32" t="s">
        <v>177</v>
      </c>
      <c r="F20" s="32"/>
      <c r="G20" s="31"/>
      <c r="H20" s="32"/>
      <c r="I20" s="32"/>
      <c r="J20" s="8"/>
      <c r="K20" s="8"/>
      <c r="L20" s="8"/>
      <c r="M20" s="118"/>
      <c r="N20" s="118"/>
      <c r="O20" s="118"/>
      <c r="P20" s="11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29" ht="15" customHeight="1">
      <c r="A21" s="8"/>
      <c r="B21" s="8"/>
      <c r="C21" s="31"/>
      <c r="D21" s="31"/>
      <c r="E21" s="32"/>
      <c r="F21" s="32"/>
      <c r="G21" s="31"/>
      <c r="H21" s="32"/>
      <c r="I21" s="32"/>
      <c r="J21" s="8"/>
      <c r="K21" s="38"/>
      <c r="L21" s="38"/>
      <c r="M21" s="8"/>
      <c r="N21" s="8"/>
      <c r="O21" s="8" t="s">
        <v>14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29" ht="15" customHeight="1">
      <c r="A22" s="8"/>
      <c r="B22" s="8"/>
      <c r="C22" s="31"/>
      <c r="D22" s="31"/>
      <c r="E22" s="32"/>
      <c r="F22" s="32"/>
      <c r="G22" s="31"/>
      <c r="H22" s="32"/>
      <c r="I22" s="32"/>
      <c r="J22" s="8"/>
      <c r="K22" s="38"/>
      <c r="L22" s="3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 ht="15" customHeight="1">
      <c r="A23" s="8"/>
      <c r="B23" s="118"/>
      <c r="C23" s="118"/>
      <c r="D23" s="31"/>
      <c r="E23" s="32"/>
      <c r="F23" s="32"/>
      <c r="G23" s="31" t="s">
        <v>14</v>
      </c>
      <c r="H23" s="32"/>
      <c r="I23" s="32"/>
      <c r="J23" s="8"/>
      <c r="K23" s="38"/>
      <c r="L23" s="3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>
      <c r="A24" s="8"/>
      <c r="B24" s="118"/>
      <c r="C24" s="118"/>
      <c r="D24" s="31"/>
      <c r="E24" s="31"/>
      <c r="F24" s="31"/>
      <c r="G24" s="31"/>
      <c r="H24" s="31"/>
      <c r="I24" s="31"/>
      <c r="J24" s="8"/>
      <c r="K24" s="38"/>
      <c r="L24" s="3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29" ht="7.5" customHeight="1">
      <c r="A25" s="8"/>
      <c r="B25" s="36"/>
      <c r="C25" s="37"/>
      <c r="D25" s="31"/>
      <c r="E25" s="31"/>
      <c r="F25" s="31"/>
      <c r="G25" s="31"/>
      <c r="H25" s="31"/>
      <c r="I25" s="31"/>
      <c r="J25" s="8"/>
      <c r="K25" s="38"/>
      <c r="L25" s="3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29" ht="15" customHeight="1">
      <c r="A26" s="8"/>
      <c r="B26" s="118"/>
      <c r="C26" s="118"/>
      <c r="D26" s="31"/>
      <c r="E26" s="31"/>
      <c r="F26" s="31"/>
      <c r="G26" s="31"/>
      <c r="H26" s="31"/>
      <c r="I26" s="31"/>
      <c r="J26" s="8"/>
      <c r="K26" s="38"/>
      <c r="L26" s="3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29">
      <c r="A27" s="8"/>
      <c r="B27" s="118"/>
      <c r="C27" s="118"/>
      <c r="D27" s="31"/>
      <c r="E27" s="31"/>
      <c r="F27" s="31"/>
      <c r="G27" s="31"/>
      <c r="H27" s="31"/>
      <c r="I27" s="31"/>
      <c r="J27" s="8"/>
      <c r="K27" s="38"/>
      <c r="L27" s="3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ht="24" customHeight="1">
      <c r="A28" s="8"/>
      <c r="B28" s="8"/>
      <c r="C28" s="31"/>
      <c r="D28" s="31"/>
      <c r="E28" s="31"/>
      <c r="F28" s="31"/>
      <c r="G28" s="31"/>
      <c r="H28" s="31"/>
      <c r="I28" s="31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ht="16.5" customHeight="1">
      <c r="A29" s="8"/>
      <c r="B29" s="8"/>
      <c r="C29" s="31"/>
      <c r="D29" s="31"/>
      <c r="E29" s="31"/>
      <c r="F29" s="31"/>
      <c r="G29" s="31"/>
      <c r="H29" s="31"/>
      <c r="I29" s="31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ht="22.5" customHeight="1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ht="7.5" customHeight="1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"/>
      <c r="Y31" s="8"/>
      <c r="Z31" s="8"/>
      <c r="AA31" s="8"/>
      <c r="AB31" s="8"/>
      <c r="AC31" s="8"/>
    </row>
    <row r="32" spans="1:29" ht="15" customHeight="1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"/>
      <c r="Y32" s="8"/>
      <c r="Z32" s="8"/>
      <c r="AA32" s="8"/>
      <c r="AB32" s="8"/>
      <c r="AC32" s="8"/>
    </row>
    <row r="33" spans="1:33" ht="7.5" customHeight="1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15"/>
      <c r="U33" s="15"/>
      <c r="V33" s="21"/>
      <c r="W33" s="110"/>
      <c r="X33" s="15"/>
      <c r="Y33" s="15"/>
      <c r="Z33" s="15"/>
      <c r="AA33" s="15"/>
      <c r="AB33" s="15"/>
      <c r="AC33" s="15"/>
      <c r="AD33" s="5"/>
      <c r="AE33" s="5"/>
      <c r="AF33" s="5"/>
      <c r="AG33" s="5"/>
    </row>
    <row r="34" spans="1:33" ht="7.5" customHeight="1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15"/>
      <c r="U34" s="15"/>
      <c r="V34" s="15"/>
      <c r="W34" s="110"/>
      <c r="X34" s="8"/>
      <c r="Y34" s="8"/>
      <c r="Z34" s="8"/>
      <c r="AA34" s="8"/>
      <c r="AB34" s="8"/>
      <c r="AC34" s="8"/>
    </row>
    <row r="35" spans="1:33" ht="15" customHeight="1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15"/>
      <c r="U35" s="15"/>
      <c r="V35" s="15"/>
      <c r="W35" s="110"/>
      <c r="X35" s="8"/>
      <c r="Y35" s="8"/>
      <c r="Z35" s="8"/>
      <c r="AA35" s="8"/>
      <c r="AB35" s="8"/>
      <c r="AC35" s="8"/>
    </row>
    <row r="36" spans="1:33" ht="7.5" customHeight="1">
      <c r="A36" s="8"/>
      <c r="B36" s="8"/>
      <c r="C36" s="8"/>
      <c r="D36" s="8"/>
      <c r="E36" s="109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</row>
    <row r="37" spans="1:33" ht="16.5" customHeigh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</row>
    <row r="38" spans="1:33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</row>
    <row r="39" spans="1:33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</row>
    <row r="40" spans="1:33" ht="7.5" customHeight="1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</row>
    <row r="41" spans="1:33" ht="7.5" customHeight="1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4"/>
    </row>
    <row r="42" spans="1:33" ht="7.5" customHeight="1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3"/>
      <c r="W42" s="8"/>
      <c r="X42" s="84"/>
    </row>
    <row r="43" spans="1:33" ht="7.5" customHeight="1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8"/>
      <c r="V43" s="83"/>
      <c r="W43" s="8"/>
      <c r="X43" s="84"/>
    </row>
  </sheetData>
  <mergeCells count="6">
    <mergeCell ref="E10:V12"/>
    <mergeCell ref="B23:C24"/>
    <mergeCell ref="B26:C27"/>
    <mergeCell ref="M14:P14"/>
    <mergeCell ref="M16:P17"/>
    <mergeCell ref="M18:P20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1" r:id="rId4" name="Button 11">
              <controlPr defaultSize="0" print="0" autoFill="0" autoPict="0" macro="[0]!close_session">
                <anchor moveWithCells="1" sizeWithCells="1">
                  <from>
                    <xdr:col>17</xdr:col>
                    <xdr:colOff>59871</xdr:colOff>
                    <xdr:row>16</xdr:row>
                    <xdr:rowOff>103414</xdr:rowOff>
                  </from>
                  <to>
                    <xdr:col>19</xdr:col>
                    <xdr:colOff>440871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5" name="Button 12">
              <controlPr defaultSize="0" print="0" autoFill="0" autoPict="0" macro="[0]!maintenance">
                <anchor moveWithCells="1" sizeWithCells="1">
                  <from>
                    <xdr:col>17</xdr:col>
                    <xdr:colOff>59871</xdr:colOff>
                    <xdr:row>14</xdr:row>
                    <xdr:rowOff>87086</xdr:rowOff>
                  </from>
                  <to>
                    <xdr:col>19</xdr:col>
                    <xdr:colOff>440871</xdr:colOff>
                    <xdr:row>15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6" name="Button 13">
              <controlPr defaultSize="0" print="0" autoFill="0" autoPict="0" macro="[0]!closeapp">
                <anchor moveWithCells="1" sizeWithCells="1">
                  <from>
                    <xdr:col>17</xdr:col>
                    <xdr:colOff>59871</xdr:colOff>
                    <xdr:row>18</xdr:row>
                    <xdr:rowOff>179614</xdr:rowOff>
                  </from>
                  <to>
                    <xdr:col>19</xdr:col>
                    <xdr:colOff>440871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7" name="Button 17">
              <controlPr defaultSize="0" print="0" autoFill="0" autoPict="0" macro="[0]!count_sum">
                <anchor moveWithCells="1" sizeWithCells="1">
                  <from>
                    <xdr:col>17</xdr:col>
                    <xdr:colOff>59871</xdr:colOff>
                    <xdr:row>21</xdr:row>
                    <xdr:rowOff>174171</xdr:rowOff>
                  </from>
                  <to>
                    <xdr:col>19</xdr:col>
                    <xdr:colOff>440871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8" name="Button 18">
              <controlPr defaultSize="0" print="0" autoFill="0" autoPict="0" macro="[0]!reportes_diarios">
                <anchor moveWithCells="1" sizeWithCells="1">
                  <from>
                    <xdr:col>1</xdr:col>
                    <xdr:colOff>76200</xdr:colOff>
                    <xdr:row>14</xdr:row>
                    <xdr:rowOff>76200</xdr:rowOff>
                  </from>
                  <to>
                    <xdr:col>2</xdr:col>
                    <xdr:colOff>408214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9" name="Button 19">
              <controlPr defaultSize="0" print="0" autoFill="0" autoPict="0" macro="[0]!letras">
                <anchor moveWithCells="1" sizeWithCells="1">
                  <from>
                    <xdr:col>1</xdr:col>
                    <xdr:colOff>76200</xdr:colOff>
                    <xdr:row>16</xdr:row>
                    <xdr:rowOff>103414</xdr:rowOff>
                  </from>
                  <to>
                    <xdr:col>2</xdr:col>
                    <xdr:colOff>408214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0" name="Button 20">
              <controlPr defaultSize="0" print="0" autoFill="0" autoPict="0" macro="[0]!bonos">
                <anchor moveWithCells="1" sizeWithCells="1">
                  <from>
                    <xdr:col>1</xdr:col>
                    <xdr:colOff>76200</xdr:colOff>
                    <xdr:row>18</xdr:row>
                    <xdr:rowOff>179614</xdr:rowOff>
                  </from>
                  <to>
                    <xdr:col>2</xdr:col>
                    <xdr:colOff>408214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1" name="Button 21">
              <controlPr defaultSize="0" print="0" autoFill="0" autoPict="0" macro="[0]!notificacion_nacionales">
                <anchor moveWithCells="1" sizeWithCells="1">
                  <from>
                    <xdr:col>6</xdr:col>
                    <xdr:colOff>59871</xdr:colOff>
                    <xdr:row>18</xdr:row>
                    <xdr:rowOff>179614</xdr:rowOff>
                  </from>
                  <to>
                    <xdr:col>7</xdr:col>
                    <xdr:colOff>609600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2" name="Button 22">
              <controlPr defaultSize="0" print="0" autoFill="0" autoPict="0" macro="[0]!notificacion_internacionales">
                <anchor moveWithCells="1" sizeWithCells="1">
                  <from>
                    <xdr:col>6</xdr:col>
                    <xdr:colOff>59871</xdr:colOff>
                    <xdr:row>16</xdr:row>
                    <xdr:rowOff>103414</xdr:rowOff>
                  </from>
                  <to>
                    <xdr:col>7</xdr:col>
                    <xdr:colOff>609600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13" name="Button 23">
              <controlPr defaultSize="0" print="0" autoFill="0" autoPict="0" macro="[0]!state_reports">
                <anchor moveWithCells="1" sizeWithCells="1">
                  <from>
                    <xdr:col>10</xdr:col>
                    <xdr:colOff>59871</xdr:colOff>
                    <xdr:row>18</xdr:row>
                    <xdr:rowOff>179614</xdr:rowOff>
                  </from>
                  <to>
                    <xdr:col>11</xdr:col>
                    <xdr:colOff>440871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14" name="Button 24">
              <controlPr defaultSize="0" print="0" autoFill="0" autoPict="0" macro="[0]!nuevo_contacto">
                <anchor moveWithCells="1" sizeWithCells="1">
                  <from>
                    <xdr:col>10</xdr:col>
                    <xdr:colOff>59871</xdr:colOff>
                    <xdr:row>14</xdr:row>
                    <xdr:rowOff>76200</xdr:rowOff>
                  </from>
                  <to>
                    <xdr:col>11</xdr:col>
                    <xdr:colOff>440871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15" name="Button 25">
              <controlPr defaultSize="0" print="0" autoFill="0" autoPict="0" macro="[0]!sovereign_ratings">
                <anchor moveWithCells="1" sizeWithCells="1">
                  <from>
                    <xdr:col>10</xdr:col>
                    <xdr:colOff>59871</xdr:colOff>
                    <xdr:row>16</xdr:row>
                    <xdr:rowOff>103414</xdr:rowOff>
                  </from>
                  <to>
                    <xdr:col>11</xdr:col>
                    <xdr:colOff>440871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16" name="Button 26">
              <controlPr defaultSize="0" print="0" autoFill="0" autoPict="0" macro="[0]!monetary_policy_report">
                <anchor moveWithCells="1" sizeWithCells="1">
                  <from>
                    <xdr:col>6</xdr:col>
                    <xdr:colOff>59871</xdr:colOff>
                    <xdr:row>14</xdr:row>
                    <xdr:rowOff>76200</xdr:rowOff>
                  </from>
                  <to>
                    <xdr:col>7</xdr:col>
                    <xdr:colOff>609600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17" name="Button 27">
              <controlPr defaultSize="0" print="0" autoFill="0" autoPict="0" macro="[0]!surveys">
                <anchor moveWithCells="1" sizeWithCells="1">
                  <from>
                    <xdr:col>6</xdr:col>
                    <xdr:colOff>59871</xdr:colOff>
                    <xdr:row>21</xdr:row>
                    <xdr:rowOff>179614</xdr:rowOff>
                  </from>
                  <to>
                    <xdr:col>7</xdr:col>
                    <xdr:colOff>609600</xdr:colOff>
                    <xdr:row>23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5"/>
  <dimension ref="A1:AG44"/>
  <sheetViews>
    <sheetView zoomScaleNormal="100" workbookViewId="0">
      <selection activeCell="C32" sqref="C32"/>
    </sheetView>
  </sheetViews>
  <sheetFormatPr defaultColWidth="11.3828125" defaultRowHeight="14.6"/>
  <cols>
    <col min="1" max="1" width="7.69140625" style="4" customWidth="1"/>
    <col min="2" max="2" width="15" style="4" customWidth="1"/>
    <col min="3" max="3" width="12.15234375" style="4" customWidth="1"/>
    <col min="4" max="4" width="1.3828125" style="4" customWidth="1"/>
    <col min="5" max="5" width="11.3828125" style="4"/>
    <col min="6" max="6" width="7.3828125" style="4" customWidth="1"/>
    <col min="7" max="7" width="11.69140625" style="4" customWidth="1"/>
    <col min="8" max="8" width="11.3828125" style="4"/>
    <col min="9" max="9" width="6" style="4" customWidth="1"/>
    <col min="10" max="10" width="6.3046875" style="4" customWidth="1"/>
    <col min="11" max="11" width="14.3046875" style="4" customWidth="1"/>
    <col min="12" max="12" width="12.84375" style="4" customWidth="1"/>
    <col min="13" max="13" width="4" style="4" customWidth="1"/>
    <col min="14" max="14" width="7.3828125" style="4" customWidth="1"/>
    <col min="15" max="15" width="11.3828125" style="4" customWidth="1"/>
    <col min="16" max="16" width="9" style="4" customWidth="1"/>
    <col min="17" max="17" width="10.3046875" style="4" customWidth="1"/>
    <col min="18" max="18" width="5" style="4" customWidth="1"/>
    <col min="19" max="19" width="9.3046875" style="4" customWidth="1"/>
    <col min="20" max="20" width="2.15234375" style="4" customWidth="1"/>
    <col min="21" max="21" width="8.53515625" style="4" customWidth="1"/>
    <col min="22" max="22" width="2.15234375" style="4" customWidth="1"/>
    <col min="23" max="23" width="8.53515625" style="4" customWidth="1"/>
    <col min="24" max="16384" width="11.3828125" style="4"/>
  </cols>
  <sheetData>
    <row r="1" spans="1:29" ht="10.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ht="22.5" customHeight="1">
      <c r="A2" s="8"/>
      <c r="B2" s="8"/>
      <c r="C2" s="8"/>
      <c r="D2" s="8"/>
      <c r="E2" s="20" t="s">
        <v>9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ht="20.6">
      <c r="A3" s="8"/>
      <c r="B3" s="8"/>
      <c r="C3" s="8"/>
      <c r="D3" s="8"/>
      <c r="E3" s="18" t="s">
        <v>10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ht="18.45">
      <c r="A4" s="8"/>
      <c r="B4" s="8"/>
      <c r="C4" s="8"/>
      <c r="D4" s="8"/>
      <c r="E4" s="43" t="s">
        <v>11</v>
      </c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29" ht="7.5" customHeight="1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>
      <c r="A6" s="16"/>
      <c r="B6" s="16"/>
      <c r="C6" s="16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ht="20.6">
      <c r="A7" s="16"/>
      <c r="B7" s="16"/>
      <c r="C7" s="16"/>
      <c r="D7" s="8"/>
      <c r="E7" s="18" t="s">
        <v>191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ht="15" customHeight="1">
      <c r="A8" s="16"/>
      <c r="B8" s="16"/>
      <c r="C8" s="16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ht="15" customHeight="1">
      <c r="A9" s="16"/>
      <c r="B9" s="16"/>
      <c r="C9" s="16"/>
      <c r="D9" s="8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8"/>
      <c r="W9" s="8"/>
      <c r="X9" s="8"/>
      <c r="Y9" s="8"/>
      <c r="Z9" s="8"/>
      <c r="AA9" s="8"/>
      <c r="AB9" s="8"/>
      <c r="AC9" s="8"/>
    </row>
    <row r="10" spans="1:29" ht="21.75" customHeight="1">
      <c r="A10" s="16"/>
      <c r="B10" s="16"/>
      <c r="C10" s="16"/>
      <c r="D10" s="8"/>
      <c r="E10" s="117" t="s">
        <v>188</v>
      </c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8"/>
      <c r="X10" s="8"/>
      <c r="Y10" s="8"/>
      <c r="Z10" s="8"/>
      <c r="AA10" s="8"/>
      <c r="AB10" s="8"/>
      <c r="AC10" s="8"/>
    </row>
    <row r="11" spans="1:29" ht="21.75" customHeight="1">
      <c r="A11" s="16"/>
      <c r="B11" s="16"/>
      <c r="C11" s="16"/>
      <c r="D11" s="8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8"/>
      <c r="X11" s="8"/>
      <c r="Y11" s="8"/>
      <c r="Z11" s="8"/>
      <c r="AA11" s="8"/>
      <c r="AB11" s="8"/>
      <c r="AC11" s="8"/>
    </row>
    <row r="12" spans="1:29" ht="21" customHeight="1">
      <c r="A12" s="16"/>
      <c r="B12" s="16"/>
      <c r="C12" s="16"/>
      <c r="D12" s="8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8"/>
      <c r="X12" s="8"/>
      <c r="Y12" s="8"/>
      <c r="Z12" s="8"/>
      <c r="AA12" s="8"/>
      <c r="AB12" s="8"/>
      <c r="AC12" s="8"/>
    </row>
    <row r="13" spans="1:29" ht="15" customHeight="1">
      <c r="A13" s="8"/>
      <c r="B13" s="8"/>
      <c r="C13" s="8"/>
      <c r="D13" s="8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8"/>
      <c r="W13" s="8"/>
      <c r="X13" s="8"/>
      <c r="Y13" s="8"/>
      <c r="Z13" s="8"/>
      <c r="AA13" s="8"/>
      <c r="AB13" s="8"/>
      <c r="AC13" s="8"/>
    </row>
    <row r="14" spans="1:29" ht="21" customHeight="1">
      <c r="A14" s="8"/>
      <c r="B14" s="23" t="s">
        <v>19</v>
      </c>
      <c r="C14" s="8"/>
      <c r="D14" s="8"/>
      <c r="E14" s="24"/>
      <c r="F14" s="25"/>
      <c r="G14" s="24" t="s">
        <v>12</v>
      </c>
      <c r="H14" s="24"/>
      <c r="I14" s="10"/>
      <c r="J14" s="10"/>
      <c r="K14" s="30" t="s">
        <v>100</v>
      </c>
      <c r="L14" s="10"/>
      <c r="M14" s="119" t="s">
        <v>160</v>
      </c>
      <c r="N14" s="119"/>
      <c r="O14" s="119"/>
      <c r="P14" s="119"/>
      <c r="Q14" s="24"/>
      <c r="R14" s="24" t="s">
        <v>3</v>
      </c>
      <c r="S14" s="10"/>
      <c r="T14" s="10"/>
      <c r="U14" s="10"/>
      <c r="V14" s="8"/>
      <c r="W14" s="8"/>
      <c r="X14" s="8"/>
      <c r="Y14" s="8"/>
      <c r="Z14" s="8"/>
      <c r="AA14" s="8"/>
      <c r="AB14" s="8"/>
      <c r="AC14" s="8"/>
    </row>
    <row r="15" spans="1:2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 t="s">
        <v>162</v>
      </c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 ht="18.45">
      <c r="A16" s="8"/>
      <c r="B16" s="8"/>
      <c r="C16" s="8"/>
      <c r="D16" s="8"/>
      <c r="E16" s="11"/>
      <c r="F16" s="8"/>
      <c r="G16" s="8"/>
      <c r="H16" s="12"/>
      <c r="I16" s="8"/>
      <c r="J16" s="8"/>
      <c r="K16" s="12"/>
      <c r="L16" s="8"/>
      <c r="M16" s="120" t="s">
        <v>164</v>
      </c>
      <c r="N16" s="120"/>
      <c r="O16" s="120"/>
      <c r="P16" s="120"/>
      <c r="Q16" s="8"/>
      <c r="R16" s="8"/>
      <c r="S16" s="8"/>
      <c r="T16" s="11"/>
      <c r="U16" s="8"/>
      <c r="V16" s="8"/>
      <c r="W16" s="8"/>
      <c r="X16" s="8"/>
      <c r="Y16" s="8"/>
      <c r="Z16" s="8"/>
      <c r="AA16" s="8"/>
      <c r="AB16" s="8"/>
      <c r="AC16" s="8"/>
    </row>
    <row r="17" spans="1:2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120"/>
      <c r="N17" s="120"/>
      <c r="O17" s="120"/>
      <c r="P17" s="120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</row>
    <row r="18" spans="1:29" ht="15" customHeight="1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118" t="s">
        <v>163</v>
      </c>
      <c r="N18" s="118"/>
      <c r="O18" s="118"/>
      <c r="P18" s="11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 ht="15" customHeight="1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118"/>
      <c r="N19" s="118"/>
      <c r="O19" s="118"/>
      <c r="P19" s="11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</row>
    <row r="20" spans="1:29" ht="6" customHeight="1">
      <c r="A20" s="8"/>
      <c r="B20" s="8"/>
      <c r="C20" s="31"/>
      <c r="D20" s="31"/>
      <c r="E20" s="32" t="s">
        <v>177</v>
      </c>
      <c r="F20" s="32"/>
      <c r="G20" s="31"/>
      <c r="H20" s="32"/>
      <c r="I20" s="32"/>
      <c r="J20" s="8"/>
      <c r="K20" s="8"/>
      <c r="L20" s="8"/>
      <c r="M20" s="118"/>
      <c r="N20" s="118"/>
      <c r="O20" s="118"/>
      <c r="P20" s="11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29" ht="15" customHeight="1">
      <c r="A21" s="8"/>
      <c r="B21" s="8"/>
      <c r="C21" s="31"/>
      <c r="D21" s="31"/>
      <c r="E21" s="32"/>
      <c r="F21" s="32"/>
      <c r="G21" s="31"/>
      <c r="H21" s="32"/>
      <c r="I21" s="32"/>
      <c r="J21" s="8"/>
      <c r="K21" s="38"/>
      <c r="L21" s="38"/>
      <c r="M21" s="8"/>
      <c r="N21" s="8"/>
      <c r="O21" s="8" t="s">
        <v>14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29" ht="15" customHeight="1">
      <c r="A22" s="8"/>
      <c r="B22" s="8"/>
      <c r="C22" s="31"/>
      <c r="D22" s="31"/>
      <c r="E22" s="32"/>
      <c r="F22" s="32"/>
      <c r="G22" s="31"/>
      <c r="H22" s="32"/>
      <c r="I22" s="32"/>
      <c r="J22" s="8"/>
      <c r="K22" s="38"/>
      <c r="L22" s="3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 ht="15" customHeight="1">
      <c r="A23" s="8"/>
      <c r="B23" s="118"/>
      <c r="C23" s="118"/>
      <c r="D23" s="31"/>
      <c r="E23" s="32"/>
      <c r="F23" s="32"/>
      <c r="G23" s="31" t="s">
        <v>14</v>
      </c>
      <c r="H23" s="32"/>
      <c r="I23" s="32"/>
      <c r="J23" s="8"/>
      <c r="K23" s="38"/>
      <c r="L23" s="3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>
      <c r="A24" s="8"/>
      <c r="B24" s="118"/>
      <c r="C24" s="118"/>
      <c r="D24" s="31"/>
      <c r="E24" s="31"/>
      <c r="F24" s="31"/>
      <c r="G24" s="31"/>
      <c r="H24" s="31"/>
      <c r="I24" s="31"/>
      <c r="J24" s="8"/>
      <c r="K24" s="38"/>
      <c r="L24" s="3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29" ht="7.5" customHeight="1">
      <c r="A25" s="8"/>
      <c r="B25" s="36"/>
      <c r="C25" s="37"/>
      <c r="D25" s="31"/>
      <c r="E25" s="31"/>
      <c r="F25" s="31"/>
      <c r="G25" s="31"/>
      <c r="H25" s="31"/>
      <c r="I25" s="31"/>
      <c r="J25" s="8"/>
      <c r="K25" s="38"/>
      <c r="L25" s="3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29" ht="15" customHeight="1">
      <c r="A26" s="8"/>
      <c r="B26" s="118"/>
      <c r="C26" s="118"/>
      <c r="D26" s="31"/>
      <c r="E26" s="31"/>
      <c r="F26" s="31"/>
      <c r="G26" s="31"/>
      <c r="H26" s="31"/>
      <c r="I26" s="31"/>
      <c r="J26" s="8"/>
      <c r="K26" s="38"/>
      <c r="L26" s="3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29">
      <c r="A27" s="8"/>
      <c r="B27" s="118"/>
      <c r="C27" s="118"/>
      <c r="D27" s="31"/>
      <c r="E27" s="31"/>
      <c r="F27" s="31"/>
      <c r="G27" s="31"/>
      <c r="H27" s="31"/>
      <c r="I27" s="31"/>
      <c r="J27" s="8"/>
      <c r="K27" s="38"/>
      <c r="L27" s="3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ht="24" customHeight="1">
      <c r="A28" s="8"/>
      <c r="B28" s="8"/>
      <c r="C28" s="31"/>
      <c r="D28" s="31"/>
      <c r="E28" s="31"/>
      <c r="F28" s="31"/>
      <c r="G28" s="31"/>
      <c r="H28" s="31"/>
      <c r="I28" s="31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ht="16.5" customHeight="1">
      <c r="A29" s="8"/>
      <c r="B29" s="8"/>
      <c r="C29" s="31"/>
      <c r="D29" s="31"/>
      <c r="E29" s="31"/>
      <c r="F29" s="31"/>
      <c r="G29" s="31"/>
      <c r="H29" s="31"/>
      <c r="I29" s="31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ht="22.5" customHeight="1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ht="7.5" customHeight="1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"/>
      <c r="Y31" s="8"/>
      <c r="Z31" s="8"/>
      <c r="AA31" s="8"/>
      <c r="AB31" s="8"/>
      <c r="AC31" s="8"/>
    </row>
    <row r="32" spans="1:29" ht="7.5" customHeight="1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"/>
      <c r="Y32" s="8"/>
      <c r="Z32" s="8"/>
      <c r="AA32" s="8"/>
      <c r="AB32" s="8"/>
      <c r="AC32" s="8"/>
    </row>
    <row r="33" spans="1:33" ht="7.5" customHeight="1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15"/>
      <c r="U33" s="15"/>
      <c r="V33" s="21"/>
      <c r="W33" s="17"/>
      <c r="X33" s="85"/>
      <c r="Y33" s="15"/>
      <c r="Z33" s="15"/>
      <c r="AA33" s="15"/>
      <c r="AB33" s="15"/>
      <c r="AC33" s="15"/>
      <c r="AD33" s="5"/>
      <c r="AE33" s="5"/>
      <c r="AF33" s="5"/>
      <c r="AG33" s="5"/>
    </row>
    <row r="34" spans="1:33" ht="7.5" customHeight="1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15"/>
      <c r="U34" s="86"/>
      <c r="V34" s="15"/>
      <c r="W34" s="17"/>
      <c r="X34" s="84"/>
      <c r="Y34" s="8"/>
      <c r="Z34" s="8"/>
      <c r="AA34" s="8"/>
      <c r="AB34" s="8"/>
      <c r="AC34" s="8"/>
    </row>
    <row r="35" spans="1:33" ht="7.5" customHeight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5"/>
      <c r="U35" s="86"/>
      <c r="V35" s="15"/>
      <c r="W35" s="17"/>
      <c r="X35" s="84"/>
      <c r="Y35" s="8"/>
      <c r="Z35" s="8"/>
      <c r="AA35" s="8"/>
      <c r="AB35" s="8"/>
      <c r="AC35" s="8"/>
    </row>
    <row r="36" spans="1:33" ht="7.5" customHeight="1">
      <c r="A36" s="16"/>
      <c r="B36" s="16"/>
      <c r="C36" s="16"/>
      <c r="D36" s="16"/>
      <c r="E36" s="90">
        <v>48.75</v>
      </c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8"/>
      <c r="U36" s="83"/>
      <c r="V36" s="8"/>
      <c r="W36" s="84"/>
      <c r="X36" s="84"/>
    </row>
    <row r="37" spans="1:3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8"/>
      <c r="U37" s="83"/>
      <c r="V37" s="8"/>
      <c r="W37" s="84"/>
      <c r="X37" s="84"/>
    </row>
    <row r="38" spans="1:3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8"/>
      <c r="U38" s="83"/>
      <c r="V38" s="8"/>
      <c r="W38" s="84"/>
      <c r="X38" s="84"/>
    </row>
    <row r="39" spans="1:3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8"/>
      <c r="U39" s="83"/>
      <c r="V39" s="8"/>
      <c r="W39" s="84"/>
      <c r="X39" s="84"/>
    </row>
    <row r="40" spans="1:3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"/>
      <c r="U40" s="83"/>
      <c r="V40" s="8"/>
      <c r="W40" s="84"/>
      <c r="X40" s="84"/>
    </row>
    <row r="41" spans="1:3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"/>
      <c r="U41" s="83"/>
      <c r="V41" s="8"/>
      <c r="W41" s="84"/>
      <c r="X41" s="84"/>
    </row>
    <row r="42" spans="1:3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"/>
      <c r="U42" s="83"/>
      <c r="V42" s="8"/>
      <c r="W42" s="84"/>
      <c r="X42" s="84"/>
    </row>
    <row r="43" spans="1:3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"/>
      <c r="U43" s="83"/>
      <c r="V43" s="8"/>
      <c r="W43" s="84"/>
      <c r="X43" s="84"/>
    </row>
    <row r="44" spans="1:3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"/>
      <c r="U44" s="83"/>
      <c r="V44" s="8"/>
      <c r="W44" s="84"/>
      <c r="X44" s="84"/>
    </row>
  </sheetData>
  <mergeCells count="6">
    <mergeCell ref="B26:C27"/>
    <mergeCell ref="E10:V12"/>
    <mergeCell ref="M14:P14"/>
    <mergeCell ref="M16:P17"/>
    <mergeCell ref="M18:P20"/>
    <mergeCell ref="B23:C2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enerar_ecofin">
                <anchor moveWithCells="1" sizeWithCells="1">
                  <from>
                    <xdr:col>10</xdr:col>
                    <xdr:colOff>59871</xdr:colOff>
                    <xdr:row>21</xdr:row>
                    <xdr:rowOff>179614</xdr:rowOff>
                  </from>
                  <to>
                    <xdr:col>11</xdr:col>
                    <xdr:colOff>440871</xdr:colOff>
                    <xdr:row>23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close_session">
                <anchor moveWithCells="1" sizeWithCells="1">
                  <from>
                    <xdr:col>17</xdr:col>
                    <xdr:colOff>59871</xdr:colOff>
                    <xdr:row>16</xdr:row>
                    <xdr:rowOff>103414</xdr:rowOff>
                  </from>
                  <to>
                    <xdr:col>20</xdr:col>
                    <xdr:colOff>293914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maintenance">
                <anchor moveWithCells="1" sizeWithCells="1">
                  <from>
                    <xdr:col>17</xdr:col>
                    <xdr:colOff>59871</xdr:colOff>
                    <xdr:row>14</xdr:row>
                    <xdr:rowOff>87086</xdr:rowOff>
                  </from>
                  <to>
                    <xdr:col>20</xdr:col>
                    <xdr:colOff>293914</xdr:colOff>
                    <xdr:row>15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utton 4">
              <controlPr defaultSize="0" print="0" autoFill="0" autoPict="0" macro="[0]!closeapp">
                <anchor moveWithCells="1" sizeWithCells="1">
                  <from>
                    <xdr:col>17</xdr:col>
                    <xdr:colOff>59871</xdr:colOff>
                    <xdr:row>18</xdr:row>
                    <xdr:rowOff>179614</xdr:rowOff>
                  </from>
                  <to>
                    <xdr:col>20</xdr:col>
                    <xdr:colOff>293914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utton 5">
              <controlPr defaultSize="0" print="0" autoFill="0" autoPict="0" macro="[0]!weekly_report">
                <anchor moveWithCells="1" sizeWithCells="1">
                  <from>
                    <xdr:col>1</xdr:col>
                    <xdr:colOff>76200</xdr:colOff>
                    <xdr:row>21</xdr:row>
                    <xdr:rowOff>179614</xdr:rowOff>
                  </from>
                  <to>
                    <xdr:col>2</xdr:col>
                    <xdr:colOff>408214</xdr:colOff>
                    <xdr:row>23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utton 6">
              <controlPr defaultSize="0" print="0" autoFill="0" autoPict="0" macro="[0]!shutdown">
                <anchor moveWithCells="1" sizeWithCells="1">
                  <from>
                    <xdr:col>17</xdr:col>
                    <xdr:colOff>59871</xdr:colOff>
                    <xdr:row>21</xdr:row>
                    <xdr:rowOff>174171</xdr:rowOff>
                  </from>
                  <to>
                    <xdr:col>20</xdr:col>
                    <xdr:colOff>293914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utton 7">
              <controlPr defaultSize="0" print="0" autoFill="0" autoPict="0" macro="[0]!reportes_diarios">
                <anchor moveWithCells="1" sizeWithCells="1">
                  <from>
                    <xdr:col>1</xdr:col>
                    <xdr:colOff>76200</xdr:colOff>
                    <xdr:row>14</xdr:row>
                    <xdr:rowOff>76200</xdr:rowOff>
                  </from>
                  <to>
                    <xdr:col>2</xdr:col>
                    <xdr:colOff>408214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utton 8">
              <controlPr defaultSize="0" print="0" autoFill="0" autoPict="0" macro="[0]!letras">
                <anchor moveWithCells="1" sizeWithCells="1">
                  <from>
                    <xdr:col>1</xdr:col>
                    <xdr:colOff>76200</xdr:colOff>
                    <xdr:row>16</xdr:row>
                    <xdr:rowOff>103414</xdr:rowOff>
                  </from>
                  <to>
                    <xdr:col>2</xdr:col>
                    <xdr:colOff>408214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utton 9">
              <controlPr defaultSize="0" print="0" autoFill="0" autoPict="0" macro="[0]!bonos">
                <anchor moveWithCells="1" sizeWithCells="1">
                  <from>
                    <xdr:col>1</xdr:col>
                    <xdr:colOff>76200</xdr:colOff>
                    <xdr:row>18</xdr:row>
                    <xdr:rowOff>179614</xdr:rowOff>
                  </from>
                  <to>
                    <xdr:col>2</xdr:col>
                    <xdr:colOff>408214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utton 10">
              <controlPr defaultSize="0" print="0" autoFill="0" autoPict="0" macro="[0]!notificacion_nacionales">
                <anchor moveWithCells="1" sizeWithCells="1">
                  <from>
                    <xdr:col>6</xdr:col>
                    <xdr:colOff>59871</xdr:colOff>
                    <xdr:row>18</xdr:row>
                    <xdr:rowOff>179614</xdr:rowOff>
                  </from>
                  <to>
                    <xdr:col>7</xdr:col>
                    <xdr:colOff>609600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7" r:id="rId14" name="Button 11">
              <controlPr defaultSize="0" print="0" autoFill="0" autoPict="0" macro="[0]!notificacion_internacionales">
                <anchor moveWithCells="1" sizeWithCells="1">
                  <from>
                    <xdr:col>6</xdr:col>
                    <xdr:colOff>59871</xdr:colOff>
                    <xdr:row>16</xdr:row>
                    <xdr:rowOff>103414</xdr:rowOff>
                  </from>
                  <to>
                    <xdr:col>7</xdr:col>
                    <xdr:colOff>609600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8" r:id="rId15" name="Button 12">
              <controlPr defaultSize="0" print="0" autoFill="0" autoPict="0" macro="[0]!state_reports">
                <anchor moveWithCells="1" sizeWithCells="1">
                  <from>
                    <xdr:col>10</xdr:col>
                    <xdr:colOff>59871</xdr:colOff>
                    <xdr:row>18</xdr:row>
                    <xdr:rowOff>179614</xdr:rowOff>
                  </from>
                  <to>
                    <xdr:col>11</xdr:col>
                    <xdr:colOff>440871</xdr:colOff>
                    <xdr:row>21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9" r:id="rId16" name="Button 13">
              <controlPr defaultSize="0" print="0" autoFill="0" autoPict="0" macro="[0]!nuevo_contacto">
                <anchor moveWithCells="1" sizeWithCells="1">
                  <from>
                    <xdr:col>10</xdr:col>
                    <xdr:colOff>59871</xdr:colOff>
                    <xdr:row>14</xdr:row>
                    <xdr:rowOff>76200</xdr:rowOff>
                  </from>
                  <to>
                    <xdr:col>11</xdr:col>
                    <xdr:colOff>440871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0" r:id="rId17" name="Button 14">
              <controlPr defaultSize="0" print="0" autoFill="0" autoPict="0" macro="[0]!sovereign_ratings">
                <anchor moveWithCells="1" sizeWithCells="1">
                  <from>
                    <xdr:col>10</xdr:col>
                    <xdr:colOff>59871</xdr:colOff>
                    <xdr:row>16</xdr:row>
                    <xdr:rowOff>103414</xdr:rowOff>
                  </from>
                  <to>
                    <xdr:col>11</xdr:col>
                    <xdr:colOff>440871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1" r:id="rId18" name="Button 15">
              <controlPr defaultSize="0" print="0" autoFill="0" autoPict="0" macro="[0]!monetary_policy_report">
                <anchor moveWithCells="1" sizeWithCells="1">
                  <from>
                    <xdr:col>6</xdr:col>
                    <xdr:colOff>59871</xdr:colOff>
                    <xdr:row>14</xdr:row>
                    <xdr:rowOff>76200</xdr:rowOff>
                  </from>
                  <to>
                    <xdr:col>7</xdr:col>
                    <xdr:colOff>609600</xdr:colOff>
                    <xdr:row>15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32" r:id="rId19" name="Button 16">
              <controlPr defaultSize="0" print="0" autoFill="0" autoPict="0" macro="[0]!surveys">
                <anchor moveWithCells="1" sizeWithCells="1">
                  <from>
                    <xdr:col>6</xdr:col>
                    <xdr:colOff>59871</xdr:colOff>
                    <xdr:row>21</xdr:row>
                    <xdr:rowOff>179614</xdr:rowOff>
                  </from>
                  <to>
                    <xdr:col>7</xdr:col>
                    <xdr:colOff>609600</xdr:colOff>
                    <xdr:row>23</xdr:row>
                    <xdr:rowOff>87086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2"/>
  <dimension ref="A1:AG36"/>
  <sheetViews>
    <sheetView showGridLines="0" showRowColHeaders="0" zoomScaleNormal="100" workbookViewId="0">
      <selection activeCell="A28" sqref="A28"/>
    </sheetView>
  </sheetViews>
  <sheetFormatPr defaultColWidth="11.3828125" defaultRowHeight="14.6"/>
  <cols>
    <col min="1" max="1" width="7.69140625" style="4" customWidth="1"/>
    <col min="2" max="2" width="15" style="4" customWidth="1"/>
    <col min="3" max="3" width="12.15234375" style="4" customWidth="1"/>
    <col min="4" max="4" width="1.3828125" style="4" customWidth="1"/>
    <col min="5" max="5" width="11.3828125" style="4"/>
    <col min="6" max="6" width="11.69140625" style="4" customWidth="1"/>
    <col min="7" max="7" width="7.3828125" style="4" customWidth="1"/>
    <col min="8" max="8" width="11.3828125" style="4"/>
    <col min="9" max="9" width="12" style="4" customWidth="1"/>
    <col min="10" max="10" width="7.3828125" style="4" customWidth="1"/>
    <col min="11" max="11" width="11.3828125" style="4"/>
    <col min="12" max="12" width="9.15234375" style="4" customWidth="1"/>
    <col min="13" max="13" width="6.84375" style="4" customWidth="1"/>
    <col min="14" max="14" width="7.3828125" style="4" customWidth="1"/>
    <col min="15" max="15" width="11.3828125" style="4" customWidth="1"/>
    <col min="16" max="16" width="9" style="4" customWidth="1"/>
    <col min="17" max="17" width="7.3828125" style="4" customWidth="1"/>
    <col min="18" max="18" width="5" style="4" customWidth="1"/>
    <col min="19" max="19" width="9.3046875" style="4" customWidth="1"/>
    <col min="20" max="20" width="2.15234375" style="4" customWidth="1"/>
    <col min="21" max="21" width="8.53515625" style="4" customWidth="1"/>
    <col min="22" max="22" width="2.15234375" style="4" customWidth="1"/>
    <col min="23" max="23" width="8.53515625" style="4" customWidth="1"/>
    <col min="24" max="16384" width="11.3828125" style="4"/>
  </cols>
  <sheetData>
    <row r="1" spans="1:29" ht="10.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</row>
    <row r="2" spans="1:29" ht="22.5" customHeight="1">
      <c r="A2" s="8"/>
      <c r="B2" s="8"/>
      <c r="C2" s="8"/>
      <c r="D2" s="8"/>
      <c r="E2" s="20" t="s">
        <v>9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ht="20.6">
      <c r="A3" s="8"/>
      <c r="B3" s="8"/>
      <c r="C3" s="8"/>
      <c r="D3" s="8"/>
      <c r="E3" s="9" t="s">
        <v>10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ht="18.45">
      <c r="A4" s="8"/>
      <c r="B4" s="8"/>
      <c r="C4" s="8"/>
      <c r="D4" s="8"/>
      <c r="E4" s="19" t="s">
        <v>11</v>
      </c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29" ht="7.5" customHeight="1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>
      <c r="A6" s="16"/>
      <c r="B6" s="16"/>
      <c r="C6" s="16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ht="20.6">
      <c r="A7" s="16"/>
      <c r="B7" s="16"/>
      <c r="C7" s="16"/>
      <c r="D7" s="8"/>
      <c r="E7" s="18" t="s">
        <v>191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ht="15" customHeight="1">
      <c r="A8" s="16"/>
      <c r="B8" s="16"/>
      <c r="C8" s="16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ht="15" customHeight="1">
      <c r="A9" s="16"/>
      <c r="B9" s="16"/>
      <c r="C9" s="16"/>
      <c r="D9" s="8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8"/>
      <c r="W9" s="8"/>
      <c r="X9" s="8"/>
      <c r="Y9" s="8"/>
      <c r="Z9" s="8"/>
      <c r="AA9" s="8"/>
      <c r="AB9" s="8"/>
      <c r="AC9" s="8"/>
    </row>
    <row r="10" spans="1:29" ht="21.75" customHeight="1">
      <c r="A10" s="16"/>
      <c r="B10" s="16"/>
      <c r="C10" s="16"/>
      <c r="D10" s="8"/>
      <c r="E10" s="117" t="s">
        <v>189</v>
      </c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8"/>
      <c r="X10" s="8"/>
      <c r="Y10" s="8"/>
      <c r="Z10" s="8"/>
      <c r="AA10" s="8"/>
      <c r="AB10" s="8"/>
      <c r="AC10" s="8"/>
    </row>
    <row r="11" spans="1:29" ht="21.75" customHeight="1">
      <c r="A11" s="16"/>
      <c r="B11" s="16"/>
      <c r="C11" s="16"/>
      <c r="D11" s="8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8"/>
      <c r="X11" s="8"/>
      <c r="Y11" s="8"/>
      <c r="Z11" s="8"/>
      <c r="AA11" s="8"/>
      <c r="AB11" s="8"/>
      <c r="AC11" s="8"/>
    </row>
    <row r="12" spans="1:29" ht="21" customHeight="1">
      <c r="A12" s="16"/>
      <c r="B12" s="16"/>
      <c r="C12" s="16"/>
      <c r="D12" s="8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8"/>
      <c r="W12" s="8"/>
      <c r="X12" s="8"/>
      <c r="Y12" s="8"/>
      <c r="Z12" s="8"/>
      <c r="AA12" s="8"/>
      <c r="AB12" s="8"/>
      <c r="AC12" s="8"/>
    </row>
    <row r="13" spans="1:29" ht="15" customHeight="1">
      <c r="A13" s="8"/>
      <c r="B13" s="8"/>
      <c r="C13" s="8"/>
      <c r="D13" s="8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8"/>
      <c r="W13" s="8"/>
      <c r="X13" s="8"/>
      <c r="Y13" s="8"/>
      <c r="Z13" s="8"/>
      <c r="AA13" s="8"/>
      <c r="AB13" s="8"/>
      <c r="AC13" s="8"/>
    </row>
    <row r="14" spans="1:29" ht="21" customHeight="1">
      <c r="A14" s="8"/>
      <c r="B14" s="23" t="s">
        <v>5</v>
      </c>
      <c r="C14" s="8"/>
      <c r="D14" s="8"/>
      <c r="E14" s="24" t="s">
        <v>3</v>
      </c>
      <c r="F14" s="10"/>
      <c r="G14" s="10"/>
      <c r="H14" s="24"/>
      <c r="I14" s="10"/>
      <c r="J14" s="10"/>
      <c r="K14" s="24"/>
      <c r="L14" s="10"/>
      <c r="M14" s="10"/>
      <c r="N14" s="10"/>
      <c r="O14" s="24"/>
      <c r="P14" s="24"/>
      <c r="Q14" s="24"/>
      <c r="R14" s="24"/>
      <c r="S14" s="10"/>
      <c r="T14" s="10"/>
      <c r="U14" s="10"/>
      <c r="V14" s="8"/>
      <c r="W14" s="8"/>
      <c r="X14" s="8"/>
      <c r="Y14" s="8"/>
      <c r="Z14" s="8"/>
      <c r="AA14" s="8"/>
      <c r="AB14" s="8"/>
      <c r="AC14" s="8"/>
    </row>
    <row r="15" spans="1:29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 ht="18.45">
      <c r="A16" s="8"/>
      <c r="B16" s="8"/>
      <c r="C16" s="8"/>
      <c r="D16" s="8"/>
      <c r="E16" s="11"/>
      <c r="F16" s="8"/>
      <c r="G16" s="8"/>
      <c r="H16" s="12"/>
      <c r="I16" s="8"/>
      <c r="J16" s="8"/>
      <c r="K16" s="12"/>
      <c r="L16" s="8"/>
      <c r="M16" s="8"/>
      <c r="N16" s="8"/>
      <c r="O16" s="8"/>
      <c r="P16" s="8"/>
      <c r="Q16" s="8"/>
      <c r="R16" s="8"/>
      <c r="S16" s="8"/>
      <c r="T16" s="11"/>
      <c r="U16" s="8"/>
      <c r="V16" s="8"/>
      <c r="W16" s="8"/>
      <c r="X16" s="8"/>
      <c r="Y16" s="8"/>
      <c r="Z16" s="8"/>
      <c r="AA16" s="8"/>
      <c r="AB16" s="8"/>
      <c r="AC16" s="8"/>
    </row>
    <row r="17" spans="1:29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</row>
    <row r="18" spans="1:29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</row>
    <row r="20" spans="1:29" ht="6" customHeight="1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29" ht="15" customHeight="1">
      <c r="A21" s="8"/>
      <c r="B21" s="8"/>
      <c r="C21" s="8"/>
      <c r="D21" s="8"/>
      <c r="E21" s="8"/>
      <c r="F21" s="8"/>
      <c r="G21" s="8"/>
      <c r="H21" s="8"/>
      <c r="I21" s="13"/>
      <c r="J21" s="8"/>
      <c r="K21" s="8"/>
      <c r="L21" s="13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29" ht="15" customHeight="1">
      <c r="A22" s="8"/>
      <c r="B22" s="8"/>
      <c r="C22" s="8"/>
      <c r="D22" s="8"/>
      <c r="E22" s="8"/>
      <c r="F22" s="8"/>
      <c r="G22" s="8"/>
      <c r="H22" s="121"/>
      <c r="I22" s="121"/>
      <c r="J22" s="8"/>
      <c r="K22" s="121"/>
      <c r="L22" s="121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>
      <c r="A23" s="8"/>
      <c r="B23" s="8"/>
      <c r="C23" s="8"/>
      <c r="D23" s="8"/>
      <c r="E23" s="8"/>
      <c r="F23" s="8"/>
      <c r="G23" s="8"/>
      <c r="H23" s="121"/>
      <c r="I23" s="121"/>
      <c r="J23" s="8"/>
      <c r="K23" s="121"/>
      <c r="L23" s="121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>
      <c r="A24" s="8"/>
      <c r="B24" s="8"/>
      <c r="C24" s="8"/>
      <c r="D24" s="8"/>
      <c r="E24" s="8"/>
      <c r="F24" s="8"/>
      <c r="G24" s="8"/>
      <c r="H24" s="14" t="s">
        <v>7</v>
      </c>
      <c r="I24" s="8"/>
      <c r="J24" s="8"/>
      <c r="K24" s="14" t="s">
        <v>8</v>
      </c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29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29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29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ht="16.5" customHeight="1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ht="16.5" customHeight="1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ht="22.5" customHeight="1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ht="7.5" customHeight="1">
      <c r="A31" s="122" t="s">
        <v>1</v>
      </c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8"/>
      <c r="Y31" s="8"/>
      <c r="Z31" s="8"/>
      <c r="AA31" s="8"/>
      <c r="AB31" s="8"/>
      <c r="AC31" s="8"/>
    </row>
    <row r="32" spans="1:29" ht="7.5" customHeight="1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8"/>
      <c r="Y32" s="8"/>
      <c r="Z32" s="8"/>
      <c r="AA32" s="8"/>
      <c r="AB32" s="8"/>
      <c r="AC32" s="8"/>
    </row>
    <row r="33" spans="1:33" ht="7.5" customHeight="1">
      <c r="A33" s="122" t="s">
        <v>13</v>
      </c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5"/>
      <c r="U33" s="15"/>
      <c r="V33" s="21"/>
      <c r="W33" s="17"/>
      <c r="X33" s="15"/>
      <c r="Y33" s="15"/>
      <c r="Z33" s="15"/>
      <c r="AA33" s="15"/>
      <c r="AB33" s="15"/>
      <c r="AC33" s="15"/>
      <c r="AD33" s="5"/>
      <c r="AE33" s="5"/>
      <c r="AF33" s="5"/>
      <c r="AG33" s="5"/>
    </row>
    <row r="34" spans="1:33" ht="7.5" customHeight="1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3"/>
      <c r="U34" s="124"/>
      <c r="V34" s="21"/>
      <c r="W34" s="17"/>
      <c r="X34" s="8"/>
      <c r="Y34" s="8"/>
      <c r="Z34" s="8"/>
      <c r="AA34" s="8"/>
      <c r="AB34" s="8"/>
      <c r="AC34" s="8"/>
    </row>
    <row r="35" spans="1:33" ht="7.5" customHeight="1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23"/>
      <c r="U35" s="124"/>
      <c r="V35" s="21"/>
      <c r="W35" s="17"/>
      <c r="X35" s="8"/>
      <c r="Y35" s="8"/>
      <c r="Z35" s="8"/>
      <c r="AA35" s="8"/>
      <c r="AB35" s="8"/>
      <c r="AC35" s="8"/>
    </row>
    <row r="36" spans="1:33" ht="7.5" customHeight="1"/>
  </sheetData>
  <mergeCells count="7">
    <mergeCell ref="E10:V11"/>
    <mergeCell ref="H22:I23"/>
    <mergeCell ref="K22:L23"/>
    <mergeCell ref="A33:S34"/>
    <mergeCell ref="T34:T35"/>
    <mergeCell ref="U34:U35"/>
    <mergeCell ref="A31:W3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42" r:id="rId4" name="Button 10">
              <controlPr defaultSize="0" print="0" autoFill="0" autoPict="0" macro="[0]!generar_ecofin">
                <anchor moveWithCells="1" sizeWithCells="1">
                  <from>
                    <xdr:col>1</xdr:col>
                    <xdr:colOff>59871</xdr:colOff>
                    <xdr:row>14</xdr:row>
                    <xdr:rowOff>87086</xdr:rowOff>
                  </from>
                  <to>
                    <xdr:col>2</xdr:col>
                    <xdr:colOff>391886</xdr:colOff>
                    <xdr:row>15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5" name="Button 11">
              <controlPr defaultSize="0" print="0" autoFill="0" autoPict="0" macro="[0]!close_session">
                <anchor moveWithCells="1" sizeWithCells="1">
                  <from>
                    <xdr:col>4</xdr:col>
                    <xdr:colOff>59871</xdr:colOff>
                    <xdr:row>14</xdr:row>
                    <xdr:rowOff>97971</xdr:rowOff>
                  </from>
                  <to>
                    <xdr:col>5</xdr:col>
                    <xdr:colOff>631371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6" name="Button 12">
              <controlPr defaultSize="0" print="0" autoFill="0" autoPict="0" macro="[0]!closeapp">
                <anchor moveWithCells="1" sizeWithCells="1">
                  <from>
                    <xdr:col>4</xdr:col>
                    <xdr:colOff>59871</xdr:colOff>
                    <xdr:row>16</xdr:row>
                    <xdr:rowOff>103414</xdr:rowOff>
                  </from>
                  <to>
                    <xdr:col>5</xdr:col>
                    <xdr:colOff>631371</xdr:colOff>
                    <xdr:row>18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7" name="Button 13">
              <controlPr defaultSize="0" print="0" autoFill="0" autoPict="0" macro="[0]!shutdown">
                <anchor moveWithCells="1" sizeWithCells="1">
                  <from>
                    <xdr:col>4</xdr:col>
                    <xdr:colOff>59871</xdr:colOff>
                    <xdr:row>18</xdr:row>
                    <xdr:rowOff>163286</xdr:rowOff>
                  </from>
                  <to>
                    <xdr:col>5</xdr:col>
                    <xdr:colOff>631371</xdr:colOff>
                    <xdr:row>20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H1444"/>
  <sheetViews>
    <sheetView zoomScaleNormal="100" workbookViewId="0">
      <selection activeCell="C1" sqref="C1"/>
    </sheetView>
  </sheetViews>
  <sheetFormatPr defaultColWidth="11.07421875" defaultRowHeight="14.6"/>
  <cols>
    <col min="1" max="1" width="28.15234375" bestFit="1" customWidth="1"/>
    <col min="2" max="2" width="35" customWidth="1"/>
    <col min="3" max="3" width="43.69140625" bestFit="1" customWidth="1"/>
    <col min="4" max="4" width="8.15234375" style="102" customWidth="1"/>
    <col min="5" max="5" width="14.69140625" style="7" customWidth="1"/>
    <col min="6" max="6" width="31.69140625" bestFit="1" customWidth="1"/>
    <col min="7" max="7" width="15" style="92" bestFit="1" customWidth="1"/>
    <col min="8" max="8" width="2.53515625" style="102" bestFit="1" customWidth="1"/>
  </cols>
  <sheetData>
    <row r="1" spans="1:8">
      <c r="A1" s="27" t="s">
        <v>15</v>
      </c>
      <c r="B1" s="27" t="s">
        <v>16</v>
      </c>
      <c r="C1" s="27" t="s">
        <v>17</v>
      </c>
      <c r="D1" s="28" t="s">
        <v>181</v>
      </c>
      <c r="E1" s="28" t="s">
        <v>18</v>
      </c>
      <c r="F1" s="27" t="s">
        <v>183</v>
      </c>
      <c r="G1" s="92" t="s">
        <v>184</v>
      </c>
      <c r="H1" s="28" t="s">
        <v>165</v>
      </c>
    </row>
    <row r="2" spans="1:8">
      <c r="A2" s="101"/>
      <c r="B2" s="101"/>
      <c r="C2" s="101"/>
      <c r="E2" s="102"/>
    </row>
    <row r="3" spans="1:8">
      <c r="A3" s="101"/>
      <c r="B3" s="101"/>
      <c r="C3" s="101"/>
      <c r="E3" s="102"/>
    </row>
    <row r="4" spans="1:8">
      <c r="A4" s="101"/>
      <c r="B4" s="101"/>
      <c r="C4" s="101"/>
      <c r="E4" s="102"/>
    </row>
    <row r="5" spans="1:8">
      <c r="A5" s="101"/>
      <c r="B5" s="101"/>
      <c r="C5" s="101"/>
      <c r="E5" s="102"/>
    </row>
    <row r="6" spans="1:8">
      <c r="A6" s="101"/>
      <c r="B6" s="101"/>
      <c r="C6" s="101"/>
      <c r="E6" s="102"/>
    </row>
    <row r="7" spans="1:8">
      <c r="A7" s="101"/>
      <c r="B7" s="101"/>
      <c r="C7" s="101"/>
      <c r="E7" s="102"/>
    </row>
    <row r="8" spans="1:8">
      <c r="A8" s="101"/>
      <c r="B8" s="101"/>
      <c r="C8" s="101"/>
      <c r="E8" s="102"/>
    </row>
    <row r="9" spans="1:8">
      <c r="A9" s="101"/>
      <c r="B9" s="101"/>
      <c r="C9" s="101"/>
      <c r="E9" s="102"/>
    </row>
    <row r="10" spans="1:8">
      <c r="A10" s="101"/>
      <c r="B10" s="101"/>
      <c r="C10" s="101"/>
      <c r="E10" s="102"/>
    </row>
    <row r="11" spans="1:8">
      <c r="A11" s="101"/>
      <c r="B11" s="101"/>
      <c r="C11" s="101"/>
      <c r="E11" s="102"/>
    </row>
    <row r="12" spans="1:8">
      <c r="A12" s="101"/>
      <c r="B12" s="101"/>
      <c r="C12" s="101"/>
      <c r="E12" s="102"/>
    </row>
    <row r="13" spans="1:8">
      <c r="A13" s="101"/>
      <c r="B13" s="101"/>
      <c r="C13" s="101"/>
      <c r="E13" s="102"/>
    </row>
    <row r="14" spans="1:8">
      <c r="A14" s="101"/>
      <c r="B14" s="101"/>
      <c r="C14" s="101"/>
      <c r="E14" s="102"/>
    </row>
    <row r="15" spans="1:8">
      <c r="A15" s="101"/>
      <c r="B15" s="101"/>
      <c r="C15" s="101"/>
      <c r="E15" s="102"/>
    </row>
    <row r="16" spans="1:8">
      <c r="A16" s="101"/>
      <c r="B16" s="101"/>
      <c r="C16" s="101"/>
      <c r="E16" s="102"/>
    </row>
    <row r="17" spans="1:5">
      <c r="A17" s="101"/>
      <c r="B17" s="101"/>
      <c r="C17" s="101"/>
      <c r="E17" s="102"/>
    </row>
    <row r="18" spans="1:5">
      <c r="A18" s="101"/>
      <c r="B18" s="101"/>
      <c r="C18" s="101"/>
      <c r="E18" s="102"/>
    </row>
    <row r="19" spans="1:5">
      <c r="A19" s="101"/>
      <c r="B19" s="101"/>
      <c r="C19" s="101"/>
      <c r="E19" s="102"/>
    </row>
    <row r="20" spans="1:5">
      <c r="A20" s="101"/>
      <c r="B20" s="101"/>
      <c r="C20" s="101"/>
      <c r="E20" s="102"/>
    </row>
    <row r="21" spans="1:5">
      <c r="A21" s="101"/>
      <c r="B21" s="101"/>
      <c r="C21" s="101"/>
      <c r="E21" s="102"/>
    </row>
    <row r="22" spans="1:5">
      <c r="A22" s="101"/>
      <c r="B22" s="101"/>
      <c r="C22" s="101"/>
      <c r="E22" s="102"/>
    </row>
    <row r="23" spans="1:5">
      <c r="A23" s="101"/>
      <c r="B23" s="101"/>
      <c r="C23" s="101"/>
      <c r="E23" s="102"/>
    </row>
    <row r="24" spans="1:5">
      <c r="A24" s="101"/>
      <c r="B24" s="101"/>
      <c r="C24" s="101"/>
      <c r="E24" s="102"/>
    </row>
    <row r="25" spans="1:5">
      <c r="A25" s="101"/>
      <c r="B25" s="101"/>
      <c r="C25" s="101"/>
      <c r="E25" s="102"/>
    </row>
    <row r="26" spans="1:5">
      <c r="A26" s="101"/>
      <c r="B26" s="101"/>
      <c r="C26" s="101"/>
      <c r="E26" s="102"/>
    </row>
    <row r="27" spans="1:5">
      <c r="A27" s="101"/>
      <c r="B27" s="101"/>
      <c r="C27" s="101"/>
      <c r="E27" s="102"/>
    </row>
    <row r="28" spans="1:5">
      <c r="A28" s="101"/>
      <c r="B28" s="101"/>
      <c r="C28" s="101"/>
      <c r="E28" s="102"/>
    </row>
    <row r="29" spans="1:5">
      <c r="A29" s="101"/>
      <c r="B29" s="101"/>
      <c r="C29" s="101"/>
      <c r="E29" s="102"/>
    </row>
    <row r="30" spans="1:5">
      <c r="A30" s="101"/>
      <c r="B30" s="101"/>
      <c r="C30" s="101"/>
      <c r="E30" s="102"/>
    </row>
    <row r="31" spans="1:5">
      <c r="A31" s="101"/>
      <c r="B31" s="101"/>
      <c r="C31" s="101"/>
      <c r="E31" s="102"/>
    </row>
    <row r="32" spans="1:5">
      <c r="A32" s="101"/>
      <c r="B32" s="101"/>
      <c r="C32" s="101"/>
      <c r="E32" s="102"/>
    </row>
    <row r="33" spans="1:5">
      <c r="A33" s="101"/>
      <c r="B33" s="101"/>
      <c r="C33" s="101"/>
      <c r="E33" s="102"/>
    </row>
    <row r="34" spans="1:5">
      <c r="A34" s="101"/>
      <c r="B34" s="101"/>
      <c r="C34" s="101"/>
      <c r="E34" s="102"/>
    </row>
    <row r="35" spans="1:5">
      <c r="A35" s="101"/>
      <c r="B35" s="101"/>
      <c r="C35" s="101"/>
      <c r="E35" s="102"/>
    </row>
    <row r="36" spans="1:5">
      <c r="A36" s="101"/>
      <c r="B36" s="101"/>
      <c r="C36" s="101"/>
      <c r="E36" s="102"/>
    </row>
    <row r="37" spans="1:5">
      <c r="A37" s="101"/>
      <c r="B37" s="101"/>
      <c r="C37" s="101"/>
      <c r="E37" s="102"/>
    </row>
    <row r="38" spans="1:5">
      <c r="A38" s="101"/>
      <c r="B38" s="101"/>
      <c r="C38" s="101"/>
      <c r="E38" s="102"/>
    </row>
    <row r="39" spans="1:5">
      <c r="A39" s="101"/>
      <c r="B39" s="101"/>
      <c r="C39" s="101"/>
      <c r="E39" s="102"/>
    </row>
    <row r="40" spans="1:5">
      <c r="A40" s="101"/>
      <c r="B40" s="101"/>
      <c r="C40" s="101"/>
      <c r="E40" s="102"/>
    </row>
    <row r="41" spans="1:5">
      <c r="A41" s="101"/>
      <c r="B41" s="101"/>
      <c r="C41" s="101"/>
      <c r="E41" s="102"/>
    </row>
    <row r="42" spans="1:5">
      <c r="A42" s="101"/>
      <c r="B42" s="101"/>
      <c r="C42" s="101"/>
      <c r="E42" s="102"/>
    </row>
    <row r="43" spans="1:5">
      <c r="A43" s="101"/>
      <c r="B43" s="101"/>
      <c r="C43" s="101"/>
      <c r="E43" s="102"/>
    </row>
    <row r="44" spans="1:5">
      <c r="A44" s="101"/>
      <c r="B44" s="101"/>
      <c r="C44" s="101"/>
      <c r="E44" s="102"/>
    </row>
    <row r="45" spans="1:5">
      <c r="A45" s="101"/>
      <c r="B45" s="101"/>
      <c r="C45" s="101"/>
      <c r="E45" s="102"/>
    </row>
    <row r="46" spans="1:5">
      <c r="A46" s="101"/>
      <c r="B46" s="101"/>
      <c r="C46" s="101"/>
      <c r="E46" s="102"/>
    </row>
    <row r="47" spans="1:5">
      <c r="A47" s="101"/>
      <c r="B47" s="101"/>
      <c r="C47" s="101"/>
      <c r="E47" s="102"/>
    </row>
    <row r="48" spans="1:5">
      <c r="A48" s="101"/>
      <c r="B48" s="101"/>
      <c r="C48" s="101"/>
      <c r="E48" s="102"/>
    </row>
    <row r="49" spans="1:5">
      <c r="A49" s="101"/>
      <c r="B49" s="101"/>
      <c r="C49" s="101"/>
      <c r="E49" s="102"/>
    </row>
    <row r="50" spans="1:5">
      <c r="A50" s="101"/>
      <c r="B50" s="101"/>
      <c r="C50" s="101"/>
      <c r="E50" s="102"/>
    </row>
    <row r="51" spans="1:5">
      <c r="A51" s="101"/>
      <c r="B51" s="101"/>
      <c r="C51" s="101"/>
      <c r="E51" s="102"/>
    </row>
    <row r="52" spans="1:5">
      <c r="A52" s="101"/>
      <c r="B52" s="101"/>
      <c r="C52" s="101"/>
      <c r="E52" s="102"/>
    </row>
    <row r="53" spans="1:5">
      <c r="A53" s="101"/>
      <c r="B53" s="101"/>
      <c r="C53" s="101"/>
      <c r="E53" s="102"/>
    </row>
    <row r="54" spans="1:5">
      <c r="A54" s="101"/>
      <c r="B54" s="101"/>
      <c r="C54" s="101"/>
      <c r="E54" s="102"/>
    </row>
    <row r="55" spans="1:5">
      <c r="A55" s="101"/>
      <c r="B55" s="101"/>
      <c r="C55" s="101"/>
      <c r="E55" s="102"/>
    </row>
    <row r="56" spans="1:5">
      <c r="A56" s="101"/>
      <c r="B56" s="101"/>
      <c r="C56" s="101"/>
      <c r="E56" s="102"/>
    </row>
    <row r="57" spans="1:5">
      <c r="A57" s="101"/>
      <c r="B57" s="101"/>
      <c r="C57" s="101"/>
      <c r="E57" s="102"/>
    </row>
    <row r="58" spans="1:5">
      <c r="A58" s="101"/>
      <c r="B58" s="101"/>
      <c r="C58" s="101"/>
      <c r="E58" s="102"/>
    </row>
    <row r="59" spans="1:5">
      <c r="A59" s="101"/>
      <c r="B59" s="101"/>
      <c r="C59" s="101"/>
      <c r="E59" s="102"/>
    </row>
    <row r="60" spans="1:5">
      <c r="A60" s="101"/>
      <c r="B60" s="101"/>
      <c r="C60" s="101"/>
      <c r="E60" s="102"/>
    </row>
    <row r="61" spans="1:5">
      <c r="A61" s="101"/>
      <c r="B61" s="101"/>
      <c r="C61" s="101"/>
      <c r="E61" s="102"/>
    </row>
    <row r="62" spans="1:5">
      <c r="A62" s="101"/>
      <c r="B62" s="101"/>
      <c r="C62" s="101"/>
      <c r="E62" s="102"/>
    </row>
    <row r="63" spans="1:5">
      <c r="A63" s="101"/>
      <c r="B63" s="101"/>
      <c r="C63" s="101"/>
      <c r="E63" s="102"/>
    </row>
    <row r="64" spans="1:5">
      <c r="A64" s="101"/>
      <c r="B64" s="101"/>
      <c r="C64" s="101"/>
      <c r="E64" s="102"/>
    </row>
    <row r="65" spans="1:5">
      <c r="A65" s="101"/>
      <c r="B65" s="101"/>
      <c r="C65" s="101"/>
      <c r="E65" s="102"/>
    </row>
    <row r="66" spans="1:5">
      <c r="A66" s="101"/>
      <c r="B66" s="101"/>
      <c r="C66" s="101"/>
      <c r="E66" s="102"/>
    </row>
    <row r="67" spans="1:5">
      <c r="A67" s="101"/>
      <c r="B67" s="101"/>
      <c r="C67" s="101"/>
      <c r="E67" s="102"/>
    </row>
    <row r="68" spans="1:5">
      <c r="A68" s="101"/>
      <c r="B68" s="101"/>
      <c r="C68" s="101"/>
      <c r="E68" s="102"/>
    </row>
    <row r="69" spans="1:5">
      <c r="A69" s="101"/>
      <c r="B69" s="101"/>
      <c r="C69" s="101"/>
      <c r="E69" s="102"/>
    </row>
    <row r="70" spans="1:5">
      <c r="A70" s="101"/>
      <c r="B70" s="101"/>
      <c r="C70" s="101"/>
      <c r="E70" s="102"/>
    </row>
    <row r="72" spans="1:5">
      <c r="A72" s="101"/>
      <c r="B72" s="101"/>
      <c r="C72" s="101"/>
      <c r="E72" s="102"/>
    </row>
    <row r="73" spans="1:5">
      <c r="A73" s="101"/>
      <c r="B73" s="101"/>
      <c r="C73" s="101"/>
      <c r="E73" s="102"/>
    </row>
    <row r="74" spans="1:5">
      <c r="A74" s="101"/>
      <c r="B74" s="101"/>
      <c r="C74" s="101"/>
      <c r="E74" s="102"/>
    </row>
    <row r="75" spans="1:5">
      <c r="A75" s="101"/>
      <c r="B75" s="101"/>
      <c r="C75" s="101"/>
      <c r="E75" s="102"/>
    </row>
    <row r="76" spans="1:5">
      <c r="A76" s="101"/>
      <c r="B76" s="101"/>
      <c r="C76" s="101"/>
      <c r="E76" s="102"/>
    </row>
    <row r="77" spans="1:5">
      <c r="A77" s="101"/>
      <c r="B77" s="101"/>
      <c r="C77" s="101"/>
      <c r="E77" s="102"/>
    </row>
    <row r="78" spans="1:5">
      <c r="A78" s="101"/>
      <c r="B78" s="101"/>
      <c r="C78" s="101"/>
      <c r="E78" s="102"/>
    </row>
    <row r="79" spans="1:5">
      <c r="A79" s="101"/>
      <c r="B79" s="101"/>
      <c r="C79" s="101"/>
      <c r="E79" s="102"/>
    </row>
    <row r="80" spans="1:5">
      <c r="A80" s="101"/>
      <c r="B80" s="101"/>
      <c r="C80" s="101"/>
      <c r="E80" s="102"/>
    </row>
    <row r="81" spans="1:5">
      <c r="A81" s="101"/>
      <c r="B81" s="101"/>
      <c r="C81" s="101"/>
      <c r="E81" s="102"/>
    </row>
    <row r="82" spans="1:5">
      <c r="A82" s="101"/>
      <c r="B82" s="101"/>
      <c r="C82" s="101"/>
      <c r="E82" s="102"/>
    </row>
    <row r="83" spans="1:5">
      <c r="A83" s="101"/>
      <c r="B83" s="101"/>
      <c r="C83" s="101"/>
      <c r="E83" s="102"/>
    </row>
    <row r="84" spans="1:5">
      <c r="A84" s="101"/>
      <c r="B84" s="101"/>
      <c r="C84" s="101"/>
      <c r="E84" s="102"/>
    </row>
    <row r="85" spans="1:5">
      <c r="A85" s="101"/>
      <c r="B85" s="101"/>
      <c r="C85" s="101"/>
      <c r="E85" s="102"/>
    </row>
    <row r="86" spans="1:5">
      <c r="A86" s="101"/>
      <c r="B86" s="101"/>
      <c r="C86" s="101"/>
      <c r="E86" s="102"/>
    </row>
    <row r="87" spans="1:5">
      <c r="A87" s="101"/>
      <c r="B87" s="101"/>
      <c r="C87" s="101"/>
      <c r="E87" s="102"/>
    </row>
    <row r="88" spans="1:5">
      <c r="A88" s="101"/>
      <c r="B88" s="101"/>
      <c r="C88" s="101"/>
      <c r="E88" s="102"/>
    </row>
    <row r="89" spans="1:5">
      <c r="A89" s="101"/>
      <c r="B89" s="101"/>
      <c r="C89" s="101"/>
      <c r="E89" s="102"/>
    </row>
    <row r="90" spans="1:5">
      <c r="A90" s="101"/>
      <c r="B90" s="101"/>
      <c r="C90" s="101"/>
      <c r="E90" s="102"/>
    </row>
    <row r="91" spans="1:5">
      <c r="A91" s="101"/>
      <c r="B91" s="101"/>
      <c r="C91" s="101"/>
      <c r="E91" s="102"/>
    </row>
    <row r="92" spans="1:5">
      <c r="A92" s="101"/>
      <c r="B92" s="101"/>
      <c r="C92" s="101"/>
      <c r="E92" s="102"/>
    </row>
    <row r="93" spans="1:5">
      <c r="A93" s="101"/>
      <c r="B93" s="101"/>
      <c r="C93" s="101"/>
      <c r="E93" s="102"/>
    </row>
    <row r="94" spans="1:5">
      <c r="A94" s="101"/>
      <c r="B94" s="101"/>
      <c r="C94" s="101"/>
      <c r="E94" s="102"/>
    </row>
    <row r="95" spans="1:5">
      <c r="A95" s="101"/>
      <c r="B95" s="101"/>
      <c r="C95" s="101"/>
      <c r="E95" s="102"/>
    </row>
    <row r="96" spans="1:5">
      <c r="A96" s="101"/>
      <c r="B96" s="101"/>
      <c r="C96" s="101"/>
      <c r="E96" s="102"/>
    </row>
    <row r="97" spans="1:8">
      <c r="A97" s="101"/>
      <c r="B97" s="101"/>
      <c r="C97" s="101"/>
      <c r="E97" s="102"/>
    </row>
    <row r="98" spans="1:8">
      <c r="A98" s="101"/>
      <c r="B98" s="101"/>
      <c r="C98" s="101"/>
      <c r="E98" s="102"/>
    </row>
    <row r="99" spans="1:8">
      <c r="A99" s="101"/>
      <c r="B99" s="101"/>
      <c r="C99" s="101"/>
      <c r="E99" s="102"/>
    </row>
    <row r="100" spans="1:8">
      <c r="A100" s="101"/>
      <c r="B100" s="101"/>
      <c r="C100" s="101"/>
      <c r="E100" s="102"/>
    </row>
    <row r="101" spans="1:8">
      <c r="A101" s="101"/>
      <c r="B101" s="101"/>
      <c r="C101" s="101"/>
      <c r="E101" s="102"/>
    </row>
    <row r="102" spans="1:8">
      <c r="A102" s="101"/>
      <c r="B102" s="101"/>
      <c r="C102" s="101"/>
      <c r="E102" s="102"/>
    </row>
    <row r="103" spans="1:8">
      <c r="A103" s="101"/>
      <c r="B103" s="101"/>
      <c r="C103" s="101"/>
      <c r="E103" s="102"/>
    </row>
    <row r="104" spans="1:8">
      <c r="A104" s="101"/>
      <c r="B104" s="101"/>
      <c r="C104" s="101"/>
      <c r="E104" s="102"/>
    </row>
    <row r="105" spans="1:8">
      <c r="A105" s="101"/>
      <c r="B105" s="101"/>
      <c r="C105" s="101"/>
      <c r="E105" s="102"/>
    </row>
    <row r="106" spans="1:8" s="101" customFormat="1">
      <c r="D106" s="102"/>
      <c r="E106" s="102"/>
      <c r="G106" s="92"/>
      <c r="H106" s="102"/>
    </row>
    <row r="107" spans="1:8" s="101" customFormat="1">
      <c r="D107" s="102"/>
      <c r="E107" s="102"/>
      <c r="G107" s="92"/>
      <c r="H107" s="102"/>
    </row>
    <row r="108" spans="1:8">
      <c r="A108" s="101"/>
      <c r="B108" s="101"/>
      <c r="C108" s="101"/>
      <c r="E108" s="102"/>
    </row>
    <row r="109" spans="1:8">
      <c r="A109" s="101"/>
      <c r="B109" s="101"/>
      <c r="C109" s="101"/>
      <c r="E109" s="102"/>
    </row>
    <row r="165" spans="3:3">
      <c r="C165" s="101"/>
    </row>
    <row r="450" spans="3:3">
      <c r="C450" s="89"/>
    </row>
    <row r="580" spans="3:3">
      <c r="C580" s="101"/>
    </row>
    <row r="679" spans="7:7">
      <c r="G679"/>
    </row>
    <row r="680" spans="7:7">
      <c r="G680"/>
    </row>
    <row r="681" spans="7:7">
      <c r="G681"/>
    </row>
    <row r="682" spans="7:7">
      <c r="G682"/>
    </row>
    <row r="683" spans="7:7">
      <c r="G683"/>
    </row>
    <row r="684" spans="7:7">
      <c r="G684"/>
    </row>
    <row r="685" spans="7:7">
      <c r="G685"/>
    </row>
    <row r="686" spans="7:7">
      <c r="G686"/>
    </row>
    <row r="687" spans="7:7">
      <c r="G687"/>
    </row>
    <row r="688" spans="7:7">
      <c r="G688"/>
    </row>
    <row r="689" spans="7:7">
      <c r="G689"/>
    </row>
    <row r="690" spans="7:7">
      <c r="G690"/>
    </row>
    <row r="691" spans="7:7">
      <c r="G691"/>
    </row>
    <row r="692" spans="7:7">
      <c r="G692"/>
    </row>
    <row r="693" spans="7:7">
      <c r="G693"/>
    </row>
    <row r="694" spans="7:7">
      <c r="G694"/>
    </row>
    <row r="695" spans="7:7">
      <c r="G695"/>
    </row>
    <row r="696" spans="7:7">
      <c r="G696"/>
    </row>
    <row r="697" spans="7:7">
      <c r="G697"/>
    </row>
    <row r="698" spans="7:7">
      <c r="G698"/>
    </row>
    <row r="699" spans="7:7">
      <c r="G699"/>
    </row>
    <row r="700" spans="7:7">
      <c r="G700"/>
    </row>
    <row r="701" spans="7:7">
      <c r="G701"/>
    </row>
    <row r="702" spans="7:7">
      <c r="G702"/>
    </row>
    <row r="703" spans="7:7">
      <c r="G703"/>
    </row>
    <row r="704" spans="7:7">
      <c r="G704"/>
    </row>
    <row r="705" spans="7:7">
      <c r="G705"/>
    </row>
    <row r="706" spans="7:7">
      <c r="G706"/>
    </row>
    <row r="707" spans="7:7">
      <c r="G707"/>
    </row>
    <row r="708" spans="7:7">
      <c r="G708"/>
    </row>
    <row r="709" spans="7:7">
      <c r="G709"/>
    </row>
    <row r="710" spans="7:7">
      <c r="G710"/>
    </row>
    <row r="711" spans="7:7">
      <c r="G711"/>
    </row>
    <row r="712" spans="7:7">
      <c r="G712"/>
    </row>
    <row r="713" spans="7:7">
      <c r="G713"/>
    </row>
    <row r="714" spans="7:7">
      <c r="G714"/>
    </row>
    <row r="715" spans="7:7">
      <c r="G715"/>
    </row>
    <row r="716" spans="7:7">
      <c r="G716"/>
    </row>
    <row r="717" spans="7:7">
      <c r="G717"/>
    </row>
    <row r="718" spans="7:7">
      <c r="G718"/>
    </row>
    <row r="719" spans="7:7">
      <c r="G719"/>
    </row>
    <row r="720" spans="7:7">
      <c r="G720"/>
    </row>
    <row r="721" spans="7:7">
      <c r="G721"/>
    </row>
    <row r="722" spans="7:7">
      <c r="G722"/>
    </row>
    <row r="723" spans="7:7">
      <c r="G723"/>
    </row>
    <row r="724" spans="7:7">
      <c r="G724"/>
    </row>
    <row r="725" spans="7:7">
      <c r="G725"/>
    </row>
    <row r="726" spans="7:7">
      <c r="G726"/>
    </row>
    <row r="727" spans="7:7">
      <c r="G727"/>
    </row>
    <row r="728" spans="7:7">
      <c r="G728"/>
    </row>
    <row r="729" spans="7:7">
      <c r="G729"/>
    </row>
    <row r="730" spans="7:7">
      <c r="G730"/>
    </row>
    <row r="731" spans="7:7">
      <c r="G731"/>
    </row>
    <row r="732" spans="7:7">
      <c r="G732"/>
    </row>
    <row r="733" spans="7:7">
      <c r="G733"/>
    </row>
    <row r="734" spans="7:7">
      <c r="G734"/>
    </row>
    <row r="735" spans="7:7">
      <c r="G735"/>
    </row>
    <row r="736" spans="7:7">
      <c r="G736"/>
    </row>
    <row r="737" spans="7:7">
      <c r="G737"/>
    </row>
    <row r="738" spans="7:7">
      <c r="G738"/>
    </row>
    <row r="739" spans="7:7">
      <c r="G739"/>
    </row>
    <row r="740" spans="7:7">
      <c r="G740"/>
    </row>
    <row r="741" spans="7:7">
      <c r="G741"/>
    </row>
    <row r="742" spans="7:7">
      <c r="G742"/>
    </row>
    <row r="743" spans="7:7">
      <c r="G743"/>
    </row>
    <row r="744" spans="7:7">
      <c r="G744"/>
    </row>
    <row r="745" spans="7:7">
      <c r="G745"/>
    </row>
    <row r="746" spans="7:7">
      <c r="G746"/>
    </row>
    <row r="747" spans="7:7">
      <c r="G747"/>
    </row>
    <row r="748" spans="7:7">
      <c r="G748"/>
    </row>
    <row r="749" spans="7:7">
      <c r="G749"/>
    </row>
    <row r="750" spans="7:7">
      <c r="G750"/>
    </row>
    <row r="751" spans="7:7">
      <c r="G751"/>
    </row>
    <row r="752" spans="7:7">
      <c r="G752"/>
    </row>
    <row r="753" spans="7:7">
      <c r="G753"/>
    </row>
    <row r="754" spans="7:7">
      <c r="G754"/>
    </row>
    <row r="755" spans="7:7">
      <c r="G755"/>
    </row>
    <row r="756" spans="7:7">
      <c r="G756"/>
    </row>
    <row r="757" spans="7:7">
      <c r="G757"/>
    </row>
    <row r="758" spans="7:7">
      <c r="G758"/>
    </row>
    <row r="759" spans="7:7">
      <c r="G759"/>
    </row>
    <row r="760" spans="7:7">
      <c r="G760"/>
    </row>
    <row r="761" spans="7:7">
      <c r="G761"/>
    </row>
    <row r="762" spans="7:7">
      <c r="G762"/>
    </row>
    <row r="763" spans="7:7">
      <c r="G763"/>
    </row>
    <row r="764" spans="7:7">
      <c r="G764"/>
    </row>
    <row r="765" spans="7:7">
      <c r="G765"/>
    </row>
    <row r="766" spans="7:7">
      <c r="G766"/>
    </row>
    <row r="767" spans="7:7">
      <c r="G767"/>
    </row>
    <row r="768" spans="7:7">
      <c r="G768"/>
    </row>
    <row r="769" spans="2:7">
      <c r="G769"/>
    </row>
    <row r="770" spans="2:7">
      <c r="B770" s="2"/>
      <c r="G770"/>
    </row>
    <row r="771" spans="2:7">
      <c r="G771"/>
    </row>
    <row r="772" spans="2:7">
      <c r="G772"/>
    </row>
    <row r="773" spans="2:7">
      <c r="G773"/>
    </row>
    <row r="774" spans="2:7">
      <c r="G774"/>
    </row>
    <row r="775" spans="2:7">
      <c r="G775"/>
    </row>
    <row r="776" spans="2:7">
      <c r="G776"/>
    </row>
    <row r="777" spans="2:7">
      <c r="G777"/>
    </row>
    <row r="778" spans="2:7">
      <c r="G778"/>
    </row>
    <row r="779" spans="2:7">
      <c r="G779"/>
    </row>
    <row r="780" spans="2:7">
      <c r="G780"/>
    </row>
    <row r="781" spans="2:7">
      <c r="G781"/>
    </row>
    <row r="782" spans="2:7">
      <c r="G782"/>
    </row>
    <row r="783" spans="2:7">
      <c r="G783"/>
    </row>
    <row r="784" spans="2:7">
      <c r="G784"/>
    </row>
    <row r="785" spans="7:7">
      <c r="G785"/>
    </row>
    <row r="786" spans="7:7">
      <c r="G786"/>
    </row>
    <row r="787" spans="7:7">
      <c r="G787"/>
    </row>
    <row r="788" spans="7:7">
      <c r="G788"/>
    </row>
    <row r="789" spans="7:7">
      <c r="G789"/>
    </row>
    <row r="790" spans="7:7">
      <c r="G790"/>
    </row>
    <row r="791" spans="7:7">
      <c r="G791"/>
    </row>
    <row r="792" spans="7:7">
      <c r="G792"/>
    </row>
    <row r="793" spans="7:7">
      <c r="G793"/>
    </row>
    <row r="794" spans="7:7">
      <c r="G794"/>
    </row>
    <row r="795" spans="7:7">
      <c r="G795"/>
    </row>
    <row r="796" spans="7:7">
      <c r="G796"/>
    </row>
    <row r="797" spans="7:7">
      <c r="G797"/>
    </row>
    <row r="798" spans="7:7">
      <c r="G798"/>
    </row>
    <row r="799" spans="7:7">
      <c r="G799"/>
    </row>
    <row r="800" spans="7:7">
      <c r="G800"/>
    </row>
    <row r="801" spans="7:7">
      <c r="G801"/>
    </row>
    <row r="802" spans="7:7">
      <c r="G802"/>
    </row>
    <row r="803" spans="7:7">
      <c r="G803"/>
    </row>
    <row r="804" spans="7:7">
      <c r="G804"/>
    </row>
    <row r="805" spans="7:7">
      <c r="G805"/>
    </row>
    <row r="806" spans="7:7">
      <c r="G806"/>
    </row>
    <row r="807" spans="7:7">
      <c r="G807"/>
    </row>
    <row r="808" spans="7:7">
      <c r="G808"/>
    </row>
    <row r="809" spans="7:7">
      <c r="G809"/>
    </row>
    <row r="810" spans="7:7">
      <c r="G810"/>
    </row>
    <row r="811" spans="7:7">
      <c r="G811"/>
    </row>
    <row r="812" spans="7:7">
      <c r="G812"/>
    </row>
    <row r="813" spans="7:7">
      <c r="G813"/>
    </row>
    <row r="814" spans="7:7">
      <c r="G814"/>
    </row>
    <row r="815" spans="7:7">
      <c r="G815"/>
    </row>
    <row r="816" spans="7:7">
      <c r="G816"/>
    </row>
    <row r="817" spans="7:7">
      <c r="G817"/>
    </row>
    <row r="818" spans="7:7">
      <c r="G818"/>
    </row>
    <row r="819" spans="7:7">
      <c r="G819"/>
    </row>
    <row r="820" spans="7:7">
      <c r="G820"/>
    </row>
    <row r="821" spans="7:7">
      <c r="G821"/>
    </row>
    <row r="822" spans="7:7">
      <c r="G822"/>
    </row>
    <row r="823" spans="7:7">
      <c r="G823"/>
    </row>
    <row r="824" spans="7:7">
      <c r="G824"/>
    </row>
    <row r="825" spans="7:7">
      <c r="G825"/>
    </row>
    <row r="826" spans="7:7">
      <c r="G826"/>
    </row>
    <row r="827" spans="7:7">
      <c r="G827"/>
    </row>
    <row r="828" spans="7:7">
      <c r="G828"/>
    </row>
    <row r="829" spans="7:7">
      <c r="G829"/>
    </row>
    <row r="830" spans="7:7">
      <c r="G830"/>
    </row>
    <row r="831" spans="7:7">
      <c r="G831"/>
    </row>
    <row r="832" spans="7:7">
      <c r="G832"/>
    </row>
    <row r="833" spans="7:7">
      <c r="G833"/>
    </row>
    <row r="834" spans="7:7">
      <c r="G834"/>
    </row>
    <row r="850" spans="7:7">
      <c r="G850"/>
    </row>
    <row r="851" spans="7:7">
      <c r="G851"/>
    </row>
    <row r="852" spans="7:7">
      <c r="G852"/>
    </row>
    <row r="853" spans="7:7">
      <c r="G853"/>
    </row>
    <row r="854" spans="7:7">
      <c r="G854"/>
    </row>
    <row r="855" spans="7:7">
      <c r="G855"/>
    </row>
    <row r="856" spans="7:7">
      <c r="G856"/>
    </row>
    <row r="857" spans="7:7">
      <c r="G857"/>
    </row>
    <row r="858" spans="7:7">
      <c r="G858"/>
    </row>
    <row r="859" spans="7:7">
      <c r="G859"/>
    </row>
    <row r="860" spans="7:7">
      <c r="G860"/>
    </row>
    <row r="861" spans="7:7">
      <c r="G861"/>
    </row>
    <row r="862" spans="7:7">
      <c r="G862"/>
    </row>
    <row r="863" spans="7:7">
      <c r="G863"/>
    </row>
    <row r="864" spans="7:7">
      <c r="G864"/>
    </row>
    <row r="865" spans="7:7">
      <c r="G865"/>
    </row>
    <row r="866" spans="7:7">
      <c r="G866"/>
    </row>
    <row r="867" spans="7:7">
      <c r="G867"/>
    </row>
    <row r="868" spans="7:7">
      <c r="G868"/>
    </row>
    <row r="869" spans="7:7">
      <c r="G869"/>
    </row>
    <row r="870" spans="7:7">
      <c r="G870"/>
    </row>
    <row r="871" spans="7:7">
      <c r="G871"/>
    </row>
    <row r="872" spans="7:7">
      <c r="G872"/>
    </row>
    <row r="873" spans="7:7">
      <c r="G873"/>
    </row>
    <row r="874" spans="7:7">
      <c r="G874"/>
    </row>
    <row r="875" spans="7:7">
      <c r="G875"/>
    </row>
    <row r="876" spans="7:7">
      <c r="G876"/>
    </row>
    <row r="877" spans="7:7">
      <c r="G877"/>
    </row>
    <row r="878" spans="7:7">
      <c r="G878"/>
    </row>
    <row r="879" spans="7:7">
      <c r="G879"/>
    </row>
    <row r="880" spans="7:7">
      <c r="G880"/>
    </row>
    <row r="881" spans="7:7">
      <c r="G881"/>
    </row>
    <row r="882" spans="7:7">
      <c r="G882"/>
    </row>
    <row r="883" spans="7:7">
      <c r="G883"/>
    </row>
    <row r="884" spans="7:7">
      <c r="G884"/>
    </row>
    <row r="885" spans="7:7">
      <c r="G885"/>
    </row>
    <row r="886" spans="7:7">
      <c r="G886"/>
    </row>
    <row r="887" spans="7:7">
      <c r="G887"/>
    </row>
    <row r="888" spans="7:7">
      <c r="G888"/>
    </row>
    <row r="889" spans="7:7">
      <c r="G889"/>
    </row>
    <row r="890" spans="7:7">
      <c r="G890"/>
    </row>
    <row r="891" spans="7:7">
      <c r="G891"/>
    </row>
    <row r="892" spans="7:7">
      <c r="G892"/>
    </row>
    <row r="893" spans="7:7">
      <c r="G893"/>
    </row>
    <row r="894" spans="7:7">
      <c r="G894"/>
    </row>
    <row r="895" spans="7:7">
      <c r="G895"/>
    </row>
    <row r="896" spans="7:7">
      <c r="G896"/>
    </row>
    <row r="897" spans="7:7">
      <c r="G897"/>
    </row>
    <row r="898" spans="7:7">
      <c r="G898"/>
    </row>
    <row r="899" spans="7:7">
      <c r="G899"/>
    </row>
    <row r="900" spans="7:7">
      <c r="G900"/>
    </row>
    <row r="901" spans="7:7">
      <c r="G901"/>
    </row>
    <row r="902" spans="7:7">
      <c r="G902"/>
    </row>
    <row r="903" spans="7:7">
      <c r="G903"/>
    </row>
    <row r="904" spans="7:7">
      <c r="G904"/>
    </row>
    <row r="905" spans="7:7">
      <c r="G905"/>
    </row>
    <row r="906" spans="7:7">
      <c r="G906"/>
    </row>
    <row r="907" spans="7:7">
      <c r="G907"/>
    </row>
    <row r="908" spans="7:7">
      <c r="G908"/>
    </row>
    <row r="909" spans="7:7">
      <c r="G909"/>
    </row>
    <row r="910" spans="7:7">
      <c r="G910"/>
    </row>
    <row r="911" spans="7:7">
      <c r="G911"/>
    </row>
    <row r="912" spans="7:7">
      <c r="G912"/>
    </row>
    <row r="913" spans="7:7">
      <c r="G913"/>
    </row>
    <row r="914" spans="7:7">
      <c r="G914"/>
    </row>
    <row r="915" spans="7:7">
      <c r="G915"/>
    </row>
    <row r="916" spans="7:7">
      <c r="G916"/>
    </row>
    <row r="917" spans="7:7">
      <c r="G917"/>
    </row>
    <row r="918" spans="7:7">
      <c r="G918"/>
    </row>
    <row r="919" spans="7:7">
      <c r="G919"/>
    </row>
    <row r="920" spans="7:7">
      <c r="G920"/>
    </row>
    <row r="921" spans="7:7">
      <c r="G921"/>
    </row>
    <row r="922" spans="7:7">
      <c r="G922"/>
    </row>
    <row r="923" spans="7:7">
      <c r="G923"/>
    </row>
    <row r="924" spans="7:7">
      <c r="G924"/>
    </row>
    <row r="925" spans="7:7">
      <c r="G925"/>
    </row>
    <row r="926" spans="7:7">
      <c r="G926"/>
    </row>
    <row r="927" spans="7:7">
      <c r="G927"/>
    </row>
    <row r="928" spans="7:7">
      <c r="G928"/>
    </row>
    <row r="929" spans="7:7">
      <c r="G929"/>
    </row>
    <row r="930" spans="7:7">
      <c r="G930"/>
    </row>
    <row r="931" spans="7:7">
      <c r="G931"/>
    </row>
    <row r="932" spans="7:7">
      <c r="G932"/>
    </row>
    <row r="933" spans="7:7">
      <c r="G933"/>
    </row>
    <row r="934" spans="7:7">
      <c r="G934"/>
    </row>
    <row r="935" spans="7:7">
      <c r="G935"/>
    </row>
    <row r="936" spans="7:7">
      <c r="G936"/>
    </row>
    <row r="937" spans="7:7">
      <c r="G937"/>
    </row>
    <row r="938" spans="7:7">
      <c r="G938"/>
    </row>
    <row r="939" spans="7:7">
      <c r="G939"/>
    </row>
    <row r="940" spans="7:7">
      <c r="G940"/>
    </row>
    <row r="941" spans="7:7">
      <c r="G941"/>
    </row>
    <row r="942" spans="7:7">
      <c r="G942"/>
    </row>
    <row r="943" spans="7:7">
      <c r="G943"/>
    </row>
    <row r="944" spans="7:7">
      <c r="G944"/>
    </row>
    <row r="945" spans="7:7">
      <c r="G945"/>
    </row>
    <row r="946" spans="7:7">
      <c r="G946"/>
    </row>
    <row r="947" spans="7:7">
      <c r="G947"/>
    </row>
    <row r="948" spans="7:7">
      <c r="G948"/>
    </row>
    <row r="949" spans="7:7">
      <c r="G949"/>
    </row>
    <row r="950" spans="7:7">
      <c r="G950"/>
    </row>
    <row r="951" spans="7:7">
      <c r="G951"/>
    </row>
    <row r="952" spans="7:7">
      <c r="G952"/>
    </row>
    <row r="953" spans="7:7">
      <c r="G953"/>
    </row>
    <row r="954" spans="7:7">
      <c r="G954"/>
    </row>
    <row r="955" spans="7:7">
      <c r="G955"/>
    </row>
    <row r="956" spans="7:7">
      <c r="G956"/>
    </row>
    <row r="957" spans="7:7">
      <c r="G957"/>
    </row>
    <row r="958" spans="7:7">
      <c r="G958"/>
    </row>
    <row r="959" spans="7:7">
      <c r="G959"/>
    </row>
    <row r="960" spans="7:7">
      <c r="G960"/>
    </row>
    <row r="961" spans="3:7">
      <c r="G961"/>
    </row>
    <row r="962" spans="3:7">
      <c r="C962" s="89"/>
      <c r="G962"/>
    </row>
    <row r="963" spans="3:7">
      <c r="G963"/>
    </row>
    <row r="964" spans="3:7">
      <c r="G964"/>
    </row>
    <row r="965" spans="3:7">
      <c r="G965"/>
    </row>
    <row r="966" spans="3:7">
      <c r="G966"/>
    </row>
    <row r="967" spans="3:7">
      <c r="G967"/>
    </row>
    <row r="968" spans="3:7">
      <c r="G968"/>
    </row>
    <row r="969" spans="3:7">
      <c r="G969"/>
    </row>
    <row r="970" spans="3:7">
      <c r="G970"/>
    </row>
    <row r="971" spans="3:7">
      <c r="G971"/>
    </row>
    <row r="972" spans="3:7">
      <c r="G972"/>
    </row>
    <row r="973" spans="3:7">
      <c r="G973"/>
    </row>
    <row r="974" spans="3:7">
      <c r="G974"/>
    </row>
    <row r="975" spans="3:7">
      <c r="G975"/>
    </row>
    <row r="976" spans="3:7">
      <c r="G976"/>
    </row>
    <row r="977" spans="3:7">
      <c r="G977"/>
    </row>
    <row r="978" spans="3:7">
      <c r="G978"/>
    </row>
    <row r="979" spans="3:7">
      <c r="G979"/>
    </row>
    <row r="980" spans="3:7">
      <c r="G980"/>
    </row>
    <row r="981" spans="3:7">
      <c r="G981"/>
    </row>
    <row r="982" spans="3:7">
      <c r="G982"/>
    </row>
    <row r="983" spans="3:7">
      <c r="G983"/>
    </row>
    <row r="984" spans="3:7">
      <c r="G984"/>
    </row>
    <row r="985" spans="3:7">
      <c r="G985"/>
    </row>
    <row r="986" spans="3:7">
      <c r="G986"/>
    </row>
    <row r="987" spans="3:7">
      <c r="G987"/>
    </row>
    <row r="988" spans="3:7">
      <c r="G988"/>
    </row>
    <row r="989" spans="3:7">
      <c r="C989" s="89"/>
      <c r="G989"/>
    </row>
    <row r="990" spans="3:7">
      <c r="G990"/>
    </row>
    <row r="991" spans="3:7">
      <c r="G991"/>
    </row>
    <row r="992" spans="3:7">
      <c r="G992"/>
    </row>
    <row r="993" spans="7:7">
      <c r="G993"/>
    </row>
    <row r="994" spans="7:7">
      <c r="G994"/>
    </row>
    <row r="995" spans="7:7">
      <c r="G995"/>
    </row>
    <row r="996" spans="7:7">
      <c r="G996"/>
    </row>
    <row r="997" spans="7:7">
      <c r="G997"/>
    </row>
    <row r="998" spans="7:7">
      <c r="G998"/>
    </row>
    <row r="999" spans="7:7">
      <c r="G999"/>
    </row>
    <row r="1000" spans="7:7">
      <c r="G1000"/>
    </row>
    <row r="1001" spans="7:7">
      <c r="G1001"/>
    </row>
    <row r="1002" spans="7:7">
      <c r="G1002"/>
    </row>
    <row r="1003" spans="7:7">
      <c r="G1003"/>
    </row>
    <row r="1004" spans="7:7">
      <c r="G1004"/>
    </row>
    <row r="1005" spans="7:7">
      <c r="G1005"/>
    </row>
    <row r="1006" spans="7:7">
      <c r="G1006"/>
    </row>
    <row r="1007" spans="7:7">
      <c r="G1007"/>
    </row>
    <row r="1008" spans="7:7">
      <c r="G1008"/>
    </row>
    <row r="1009" spans="7:7">
      <c r="G1009"/>
    </row>
    <row r="1010" spans="7:7">
      <c r="G1010"/>
    </row>
    <row r="1011" spans="7:7">
      <c r="G1011"/>
    </row>
    <row r="1012" spans="7:7">
      <c r="G1012"/>
    </row>
    <row r="1013" spans="7:7">
      <c r="G1013"/>
    </row>
    <row r="1014" spans="7:7">
      <c r="G1014"/>
    </row>
    <row r="1015" spans="7:7">
      <c r="G1015"/>
    </row>
    <row r="1016" spans="7:7">
      <c r="G1016"/>
    </row>
    <row r="1017" spans="7:7">
      <c r="G1017"/>
    </row>
    <row r="1018" spans="7:7">
      <c r="G1018"/>
    </row>
    <row r="1019" spans="7:7">
      <c r="G1019"/>
    </row>
    <row r="1020" spans="7:7">
      <c r="G1020"/>
    </row>
    <row r="1021" spans="7:7">
      <c r="G1021"/>
    </row>
    <row r="1022" spans="7:7">
      <c r="G1022"/>
    </row>
    <row r="1023" spans="7:7">
      <c r="G1023"/>
    </row>
    <row r="1024" spans="7:7">
      <c r="G1024"/>
    </row>
    <row r="1025" spans="7:7">
      <c r="G1025"/>
    </row>
    <row r="1026" spans="7:7">
      <c r="G1026"/>
    </row>
    <row r="1027" spans="7:7">
      <c r="G1027"/>
    </row>
    <row r="1028" spans="7:7">
      <c r="G1028"/>
    </row>
    <row r="1029" spans="7:7">
      <c r="G1029"/>
    </row>
    <row r="1030" spans="7:7">
      <c r="G1030"/>
    </row>
    <row r="1031" spans="7:7">
      <c r="G1031"/>
    </row>
    <row r="1032" spans="7:7">
      <c r="G1032"/>
    </row>
    <row r="1033" spans="7:7">
      <c r="G1033"/>
    </row>
    <row r="1034" spans="7:7">
      <c r="G1034"/>
    </row>
    <row r="1035" spans="7:7">
      <c r="G1035"/>
    </row>
    <row r="1036" spans="7:7">
      <c r="G1036"/>
    </row>
    <row r="1037" spans="7:7">
      <c r="G1037"/>
    </row>
    <row r="1038" spans="7:7">
      <c r="G1038"/>
    </row>
    <row r="1039" spans="7:7">
      <c r="G1039"/>
    </row>
    <row r="1040" spans="7:7">
      <c r="G1040"/>
    </row>
    <row r="1041" spans="7:7">
      <c r="G1041"/>
    </row>
    <row r="1042" spans="7:7">
      <c r="G1042"/>
    </row>
    <row r="1043" spans="7:7">
      <c r="G1043"/>
    </row>
    <row r="1044" spans="7:7">
      <c r="G1044"/>
    </row>
    <row r="1045" spans="7:7">
      <c r="G1045"/>
    </row>
    <row r="1046" spans="7:7">
      <c r="G1046"/>
    </row>
    <row r="1047" spans="7:7">
      <c r="G1047"/>
    </row>
    <row r="1048" spans="7:7">
      <c r="G1048"/>
    </row>
    <row r="1049" spans="7:7">
      <c r="G1049"/>
    </row>
    <row r="1050" spans="7:7">
      <c r="G1050"/>
    </row>
    <row r="1051" spans="7:7">
      <c r="G1051"/>
    </row>
    <row r="1052" spans="7:7">
      <c r="G1052"/>
    </row>
    <row r="1053" spans="7:7">
      <c r="G1053"/>
    </row>
    <row r="1054" spans="7:7">
      <c r="G1054"/>
    </row>
    <row r="1055" spans="7:7">
      <c r="G1055"/>
    </row>
    <row r="1056" spans="7:7">
      <c r="G1056"/>
    </row>
    <row r="1057" spans="7:7">
      <c r="G1057"/>
    </row>
    <row r="1058" spans="7:7">
      <c r="G1058"/>
    </row>
    <row r="1059" spans="7:7">
      <c r="G1059"/>
    </row>
    <row r="1060" spans="7:7">
      <c r="G1060"/>
    </row>
    <row r="1061" spans="7:7">
      <c r="G1061"/>
    </row>
    <row r="1062" spans="7:7">
      <c r="G1062"/>
    </row>
    <row r="1063" spans="7:7">
      <c r="G1063"/>
    </row>
    <row r="1064" spans="7:7">
      <c r="G1064"/>
    </row>
    <row r="1065" spans="7:7">
      <c r="G1065"/>
    </row>
    <row r="1066" spans="7:7">
      <c r="G1066"/>
    </row>
    <row r="1067" spans="7:7">
      <c r="G1067"/>
    </row>
    <row r="1068" spans="7:7">
      <c r="G1068"/>
    </row>
    <row r="1069" spans="7:7">
      <c r="G1069"/>
    </row>
    <row r="1070" spans="7:7">
      <c r="G1070"/>
    </row>
    <row r="1071" spans="7:7">
      <c r="G1071"/>
    </row>
    <row r="1072" spans="7:7">
      <c r="G1072"/>
    </row>
    <row r="1073" spans="7:7">
      <c r="G1073"/>
    </row>
    <row r="1074" spans="7:7">
      <c r="G1074"/>
    </row>
    <row r="1075" spans="7:7">
      <c r="G1075"/>
    </row>
    <row r="1076" spans="7:7">
      <c r="G1076"/>
    </row>
    <row r="1077" spans="7:7">
      <c r="G1077"/>
    </row>
    <row r="1078" spans="7:7">
      <c r="G1078"/>
    </row>
    <row r="1079" spans="7:7">
      <c r="G1079"/>
    </row>
    <row r="1080" spans="7:7">
      <c r="G1080"/>
    </row>
    <row r="1081" spans="7:7">
      <c r="G1081"/>
    </row>
    <row r="1082" spans="7:7">
      <c r="G1082"/>
    </row>
    <row r="1083" spans="7:7">
      <c r="G1083"/>
    </row>
    <row r="1084" spans="7:7">
      <c r="G1084"/>
    </row>
    <row r="1085" spans="7:7">
      <c r="G1085"/>
    </row>
    <row r="1086" spans="7:7">
      <c r="G1086"/>
    </row>
    <row r="1087" spans="7:7">
      <c r="G1087"/>
    </row>
    <row r="1088" spans="7:7">
      <c r="G1088"/>
    </row>
    <row r="1089" spans="7:7">
      <c r="G1089"/>
    </row>
    <row r="1090" spans="7:7">
      <c r="G1090"/>
    </row>
    <row r="1091" spans="7:7">
      <c r="G1091"/>
    </row>
    <row r="1092" spans="7:7">
      <c r="G1092"/>
    </row>
    <row r="1093" spans="7:7">
      <c r="G1093"/>
    </row>
    <row r="1094" spans="7:7">
      <c r="G1094"/>
    </row>
    <row r="1095" spans="7:7">
      <c r="G1095"/>
    </row>
    <row r="1096" spans="7:7">
      <c r="G1096"/>
    </row>
    <row r="1097" spans="7:7">
      <c r="G1097"/>
    </row>
    <row r="1098" spans="7:7">
      <c r="G1098"/>
    </row>
    <row r="1099" spans="7:7">
      <c r="G1099"/>
    </row>
    <row r="1100" spans="7:7">
      <c r="G1100"/>
    </row>
    <row r="1101" spans="7:7">
      <c r="G1101"/>
    </row>
    <row r="1102" spans="7:7">
      <c r="G1102"/>
    </row>
    <row r="1103" spans="7:7">
      <c r="G1103"/>
    </row>
    <row r="1104" spans="7:7">
      <c r="G1104"/>
    </row>
    <row r="1105" spans="7:7">
      <c r="G1105"/>
    </row>
    <row r="1106" spans="7:7">
      <c r="G1106"/>
    </row>
    <row r="1107" spans="7:7">
      <c r="G1107"/>
    </row>
    <row r="1108" spans="7:7">
      <c r="G1108"/>
    </row>
    <row r="1109" spans="7:7">
      <c r="G1109"/>
    </row>
    <row r="1110" spans="7:7">
      <c r="G1110"/>
    </row>
    <row r="1111" spans="7:7">
      <c r="G1111"/>
    </row>
    <row r="1112" spans="7:7">
      <c r="G1112"/>
    </row>
    <row r="1113" spans="7:7">
      <c r="G1113"/>
    </row>
    <row r="1114" spans="7:7">
      <c r="G1114"/>
    </row>
    <row r="1115" spans="7:7">
      <c r="G1115"/>
    </row>
    <row r="1116" spans="7:7">
      <c r="G1116"/>
    </row>
    <row r="1117" spans="7:7">
      <c r="G1117"/>
    </row>
    <row r="1118" spans="7:7">
      <c r="G1118"/>
    </row>
    <row r="1119" spans="7:7">
      <c r="G1119"/>
    </row>
    <row r="1120" spans="7:7">
      <c r="G1120"/>
    </row>
    <row r="1121" spans="7:7">
      <c r="G1121"/>
    </row>
    <row r="1122" spans="7:7">
      <c r="G1122"/>
    </row>
    <row r="1123" spans="7:7">
      <c r="G1123"/>
    </row>
    <row r="1124" spans="7:7">
      <c r="G1124"/>
    </row>
    <row r="1125" spans="7:7">
      <c r="G1125"/>
    </row>
    <row r="1126" spans="7:7">
      <c r="G1126"/>
    </row>
    <row r="1127" spans="7:7">
      <c r="G1127"/>
    </row>
    <row r="1128" spans="7:7">
      <c r="G1128"/>
    </row>
    <row r="1129" spans="7:7">
      <c r="G1129"/>
    </row>
    <row r="1130" spans="7:7">
      <c r="G1130"/>
    </row>
    <row r="1131" spans="7:7">
      <c r="G1131"/>
    </row>
    <row r="1132" spans="7:7">
      <c r="G1132"/>
    </row>
    <row r="1133" spans="7:7">
      <c r="G1133"/>
    </row>
    <row r="1134" spans="7:7">
      <c r="G1134"/>
    </row>
    <row r="1135" spans="7:7">
      <c r="G1135"/>
    </row>
    <row r="1136" spans="7:7">
      <c r="G1136"/>
    </row>
    <row r="1137" spans="7:7">
      <c r="G1137"/>
    </row>
    <row r="1138" spans="7:7">
      <c r="G1138"/>
    </row>
    <row r="1139" spans="7:7">
      <c r="G1139"/>
    </row>
    <row r="1140" spans="7:7">
      <c r="G1140"/>
    </row>
    <row r="1141" spans="7:7">
      <c r="G1141"/>
    </row>
    <row r="1142" spans="7:7">
      <c r="G1142"/>
    </row>
    <row r="1143" spans="7:7">
      <c r="G1143"/>
    </row>
    <row r="1144" spans="7:7">
      <c r="G1144"/>
    </row>
    <row r="1145" spans="7:7">
      <c r="G1145"/>
    </row>
    <row r="1146" spans="7:7">
      <c r="G1146"/>
    </row>
    <row r="1147" spans="7:7">
      <c r="G1147"/>
    </row>
    <row r="1148" spans="7:7">
      <c r="G1148"/>
    </row>
    <row r="1149" spans="7:7">
      <c r="G1149"/>
    </row>
    <row r="1150" spans="7:7">
      <c r="G1150"/>
    </row>
    <row r="1151" spans="7:7">
      <c r="G1151"/>
    </row>
    <row r="1152" spans="7:7">
      <c r="G1152"/>
    </row>
    <row r="1153" spans="7:7">
      <c r="G1153"/>
    </row>
    <row r="1154" spans="7:7">
      <c r="G1154"/>
    </row>
    <row r="1155" spans="7:7">
      <c r="G1155"/>
    </row>
    <row r="1156" spans="7:7">
      <c r="G1156"/>
    </row>
    <row r="1157" spans="7:7">
      <c r="G1157"/>
    </row>
    <row r="1158" spans="7:7">
      <c r="G1158"/>
    </row>
    <row r="1159" spans="7:7">
      <c r="G1159"/>
    </row>
    <row r="1160" spans="7:7">
      <c r="G1160"/>
    </row>
    <row r="1161" spans="7:7">
      <c r="G1161"/>
    </row>
    <row r="1162" spans="7:7">
      <c r="G1162"/>
    </row>
    <row r="1163" spans="7:7">
      <c r="G1163"/>
    </row>
    <row r="1164" spans="7:7">
      <c r="G1164"/>
    </row>
    <row r="1165" spans="7:7">
      <c r="G1165"/>
    </row>
    <row r="1166" spans="7:7">
      <c r="G1166"/>
    </row>
    <row r="1167" spans="7:7">
      <c r="G1167"/>
    </row>
    <row r="1168" spans="7:7">
      <c r="G1168"/>
    </row>
    <row r="1169" spans="3:7">
      <c r="C1169" s="101"/>
      <c r="G1169"/>
    </row>
    <row r="1170" spans="3:7">
      <c r="G1170"/>
    </row>
    <row r="1171" spans="3:7">
      <c r="G1171"/>
    </row>
    <row r="1172" spans="3:7">
      <c r="G1172"/>
    </row>
    <row r="1173" spans="3:7">
      <c r="G1173"/>
    </row>
    <row r="1174" spans="3:7">
      <c r="G1174"/>
    </row>
    <row r="1175" spans="3:7">
      <c r="C1175" s="89"/>
      <c r="G1175"/>
    </row>
    <row r="1176" spans="3:7">
      <c r="G1176"/>
    </row>
    <row r="1177" spans="3:7">
      <c r="G1177"/>
    </row>
    <row r="1178" spans="3:7">
      <c r="G1178"/>
    </row>
    <row r="1179" spans="3:7">
      <c r="G1179"/>
    </row>
    <row r="1180" spans="3:7">
      <c r="G1180"/>
    </row>
    <row r="1181" spans="3:7">
      <c r="G1181"/>
    </row>
    <row r="1182" spans="3:7">
      <c r="G1182"/>
    </row>
    <row r="1183" spans="3:7">
      <c r="G1183"/>
    </row>
    <row r="1184" spans="3:7">
      <c r="G1184"/>
    </row>
    <row r="1185" spans="1:7">
      <c r="G1185"/>
    </row>
    <row r="1190" spans="1:7">
      <c r="F1190" s="25"/>
      <c r="G1190" s="93"/>
    </row>
    <row r="1191" spans="1:7">
      <c r="A1191" s="25"/>
      <c r="B1191" s="25"/>
      <c r="C1191" s="25"/>
      <c r="D1191" s="29"/>
      <c r="E1191" s="29"/>
    </row>
    <row r="1202" spans="7:7">
      <c r="G1202"/>
    </row>
    <row r="1203" spans="7:7">
      <c r="G1203"/>
    </row>
    <row r="1204" spans="7:7">
      <c r="G1204"/>
    </row>
    <row r="1205" spans="7:7">
      <c r="G1205"/>
    </row>
    <row r="1206" spans="7:7">
      <c r="G1206"/>
    </row>
    <row r="1207" spans="7:7">
      <c r="G1207"/>
    </row>
    <row r="1208" spans="7:7">
      <c r="G1208"/>
    </row>
    <row r="1209" spans="7:7">
      <c r="G1209"/>
    </row>
    <row r="1210" spans="7:7">
      <c r="G1210"/>
    </row>
    <row r="1211" spans="7:7">
      <c r="G1211"/>
    </row>
    <row r="1212" spans="7:7">
      <c r="G1212"/>
    </row>
    <row r="1213" spans="7:7">
      <c r="G1213"/>
    </row>
    <row r="1214" spans="7:7">
      <c r="G1214"/>
    </row>
    <row r="1215" spans="7:7">
      <c r="G1215"/>
    </row>
    <row r="1216" spans="7:7">
      <c r="G1216"/>
    </row>
    <row r="1217" spans="2:7">
      <c r="B1217" s="89"/>
      <c r="G1217"/>
    </row>
    <row r="1218" spans="2:7">
      <c r="G1218"/>
    </row>
    <row r="1219" spans="2:7">
      <c r="G1219"/>
    </row>
    <row r="1220" spans="2:7">
      <c r="G1220"/>
    </row>
    <row r="1221" spans="2:7">
      <c r="G1221"/>
    </row>
    <row r="1222" spans="2:7">
      <c r="G1222"/>
    </row>
    <row r="1223" spans="2:7">
      <c r="G1223"/>
    </row>
    <row r="1224" spans="2:7">
      <c r="G1224"/>
    </row>
    <row r="1225" spans="2:7">
      <c r="G1225"/>
    </row>
    <row r="1226" spans="2:7">
      <c r="G1226"/>
    </row>
    <row r="1227" spans="2:7">
      <c r="G1227"/>
    </row>
    <row r="1228" spans="2:7">
      <c r="G1228"/>
    </row>
    <row r="1229" spans="2:7">
      <c r="G1229"/>
    </row>
    <row r="1230" spans="2:7">
      <c r="G1230"/>
    </row>
    <row r="1231" spans="2:7">
      <c r="G1231"/>
    </row>
    <row r="1232" spans="2:7">
      <c r="G1232"/>
    </row>
    <row r="1233" spans="3:7">
      <c r="G1233"/>
    </row>
    <row r="1234" spans="3:7">
      <c r="G1234"/>
    </row>
    <row r="1235" spans="3:7">
      <c r="G1235"/>
    </row>
    <row r="1236" spans="3:7">
      <c r="G1236"/>
    </row>
    <row r="1237" spans="3:7">
      <c r="G1237"/>
    </row>
    <row r="1238" spans="3:7">
      <c r="G1238"/>
    </row>
    <row r="1239" spans="3:7">
      <c r="G1239"/>
    </row>
    <row r="1240" spans="3:7">
      <c r="G1240"/>
    </row>
    <row r="1241" spans="3:7">
      <c r="G1241"/>
    </row>
    <row r="1242" spans="3:7">
      <c r="G1242"/>
    </row>
    <row r="1243" spans="3:7">
      <c r="G1243"/>
    </row>
    <row r="1244" spans="3:7">
      <c r="G1244"/>
    </row>
    <row r="1245" spans="3:7">
      <c r="G1245"/>
    </row>
    <row r="1246" spans="3:7">
      <c r="C1246" s="89"/>
      <c r="G1246"/>
    </row>
    <row r="1247" spans="3:7">
      <c r="G1247"/>
    </row>
    <row r="1248" spans="3:7">
      <c r="G1248"/>
    </row>
    <row r="1249" spans="7:7">
      <c r="G1249"/>
    </row>
    <row r="1250" spans="7:7">
      <c r="G1250"/>
    </row>
    <row r="1251" spans="7:7">
      <c r="G1251"/>
    </row>
    <row r="1252" spans="7:7">
      <c r="G1252"/>
    </row>
    <row r="1253" spans="7:7">
      <c r="G1253"/>
    </row>
    <row r="1254" spans="7:7">
      <c r="G1254"/>
    </row>
    <row r="1255" spans="7:7">
      <c r="G1255"/>
    </row>
    <row r="1256" spans="7:7">
      <c r="G1256"/>
    </row>
    <row r="1257" spans="7:7">
      <c r="G1257"/>
    </row>
    <row r="1258" spans="7:7">
      <c r="G1258"/>
    </row>
    <row r="1259" spans="7:7">
      <c r="G1259"/>
    </row>
    <row r="1260" spans="7:7">
      <c r="G1260"/>
    </row>
    <row r="1261" spans="7:7">
      <c r="G1261"/>
    </row>
    <row r="1262" spans="7:7">
      <c r="G1262"/>
    </row>
    <row r="1263" spans="7:7">
      <c r="G1263"/>
    </row>
    <row r="1264" spans="7:7">
      <c r="G1264"/>
    </row>
    <row r="1265" spans="2:7">
      <c r="G1265"/>
    </row>
    <row r="1266" spans="2:7">
      <c r="G1266"/>
    </row>
    <row r="1267" spans="2:7">
      <c r="G1267"/>
    </row>
    <row r="1268" spans="2:7">
      <c r="G1268"/>
    </row>
    <row r="1269" spans="2:7">
      <c r="G1269"/>
    </row>
    <row r="1270" spans="2:7">
      <c r="G1270"/>
    </row>
    <row r="1271" spans="2:7">
      <c r="G1271"/>
    </row>
    <row r="1272" spans="2:7">
      <c r="G1272"/>
    </row>
    <row r="1273" spans="2:7">
      <c r="G1273"/>
    </row>
    <row r="1274" spans="2:7">
      <c r="G1274"/>
    </row>
    <row r="1276" spans="2:7">
      <c r="B1276" s="40"/>
    </row>
    <row r="1309" spans="3:3">
      <c r="C1309" s="95"/>
    </row>
    <row r="1392" spans="4:8" s="101" customFormat="1">
      <c r="D1392" s="102"/>
      <c r="E1392" s="102"/>
      <c r="G1392" s="92"/>
      <c r="H1392" s="102"/>
    </row>
    <row r="1419" spans="1:1">
      <c r="A1419" s="101"/>
    </row>
    <row r="1426" spans="3:6">
      <c r="C1426" s="101"/>
    </row>
    <row r="1428" spans="3:6">
      <c r="F1428" s="106"/>
    </row>
    <row r="1431" spans="3:6">
      <c r="F1431" s="40"/>
    </row>
    <row r="1437" spans="3:6">
      <c r="C1437" s="101"/>
    </row>
    <row r="1441" spans="3:6">
      <c r="D1441" s="108"/>
      <c r="F1441" s="40"/>
    </row>
    <row r="1442" spans="3:6">
      <c r="C1442" s="95"/>
      <c r="D1442" s="108"/>
      <c r="F1442" s="40"/>
    </row>
    <row r="1443" spans="3:6">
      <c r="C1443" s="95"/>
      <c r="D1443" s="107"/>
      <c r="F1443" s="26"/>
    </row>
    <row r="1444" spans="3:6">
      <c r="D1444" s="107"/>
      <c r="F1444" s="106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E961"/>
  <sheetViews>
    <sheetView workbookViewId="0">
      <selection activeCell="C1" sqref="C1"/>
    </sheetView>
  </sheetViews>
  <sheetFormatPr defaultColWidth="11.07421875" defaultRowHeight="14.6"/>
  <cols>
    <col min="1" max="1" width="28.15234375" bestFit="1" customWidth="1"/>
    <col min="2" max="2" width="36.3046875" bestFit="1" customWidth="1"/>
    <col min="3" max="3" width="39.15234375" bestFit="1" customWidth="1"/>
    <col min="4" max="4" width="8.15234375" style="26" bestFit="1" customWidth="1"/>
    <col min="5" max="5" width="10.69140625" style="92" bestFit="1" customWidth="1"/>
  </cols>
  <sheetData>
    <row r="1" spans="1:5" s="101" customFormat="1">
      <c r="A1" s="101" t="s">
        <v>2</v>
      </c>
      <c r="B1" s="101" t="s">
        <v>16</v>
      </c>
      <c r="C1" s="101" t="s">
        <v>180</v>
      </c>
      <c r="D1" s="26" t="s">
        <v>181</v>
      </c>
      <c r="E1" s="92" t="s">
        <v>182</v>
      </c>
    </row>
    <row r="20" spans="4:4">
      <c r="D20"/>
    </row>
    <row r="30" spans="4:4">
      <c r="D30"/>
    </row>
    <row r="31" spans="4:4">
      <c r="D31"/>
    </row>
    <row r="32" spans="4:4">
      <c r="D32"/>
    </row>
    <row r="33" spans="4:4">
      <c r="D33"/>
    </row>
    <row r="37" spans="4:4">
      <c r="D37"/>
    </row>
    <row r="38" spans="4:4">
      <c r="D38"/>
    </row>
    <row r="47" spans="4:4">
      <c r="D47"/>
    </row>
    <row r="48" spans="4:4">
      <c r="D48"/>
    </row>
    <row r="51" spans="4:4">
      <c r="D51"/>
    </row>
    <row r="61" spans="4:4">
      <c r="D61"/>
    </row>
    <row r="67" spans="3:4">
      <c r="D67"/>
    </row>
    <row r="69" spans="3:4">
      <c r="D69"/>
    </row>
    <row r="72" spans="3:4">
      <c r="D72"/>
    </row>
    <row r="74" spans="3:4">
      <c r="D74"/>
    </row>
    <row r="75" spans="3:4">
      <c r="C75" s="89"/>
    </row>
    <row r="78" spans="3:4">
      <c r="D78"/>
    </row>
    <row r="81" spans="4:4">
      <c r="D81"/>
    </row>
    <row r="86" spans="4:4">
      <c r="D86"/>
    </row>
    <row r="91" spans="4:4">
      <c r="D91"/>
    </row>
    <row r="101" spans="4:4">
      <c r="D101"/>
    </row>
    <row r="114" spans="3:4">
      <c r="D114"/>
    </row>
    <row r="117" spans="3:4">
      <c r="D117"/>
    </row>
    <row r="119" spans="3:4">
      <c r="D119"/>
    </row>
    <row r="125" spans="3:4">
      <c r="C125" s="101"/>
    </row>
    <row r="132" spans="4:4">
      <c r="D132"/>
    </row>
    <row r="134" spans="4:4">
      <c r="D134"/>
    </row>
    <row r="135" spans="4:4">
      <c r="D135"/>
    </row>
    <row r="138" spans="4:4">
      <c r="D138"/>
    </row>
    <row r="145" spans="4:4">
      <c r="D145"/>
    </row>
    <row r="158" spans="4:4">
      <c r="D158"/>
    </row>
    <row r="160" spans="4:4">
      <c r="D160"/>
    </row>
    <row r="181" spans="4:4">
      <c r="D181"/>
    </row>
    <row r="183" spans="4:4">
      <c r="D183"/>
    </row>
    <row r="190" spans="4:4">
      <c r="D190"/>
    </row>
    <row r="193" spans="4:4">
      <c r="D193"/>
    </row>
    <row r="196" spans="4:4">
      <c r="D196"/>
    </row>
    <row r="202" spans="4:4">
      <c r="D202"/>
    </row>
    <row r="206" spans="4:4">
      <c r="D206"/>
    </row>
    <row r="209" spans="4:4">
      <c r="D209"/>
    </row>
    <row r="215" spans="4:4">
      <c r="D215"/>
    </row>
    <row r="216" spans="4:4">
      <c r="D216"/>
    </row>
    <row r="220" spans="4:4">
      <c r="D220"/>
    </row>
    <row r="235" spans="4:4">
      <c r="D235"/>
    </row>
    <row r="242" spans="4:5">
      <c r="E242"/>
    </row>
    <row r="243" spans="4:5">
      <c r="D243"/>
      <c r="E243"/>
    </row>
    <row r="244" spans="4:5">
      <c r="E244"/>
    </row>
    <row r="245" spans="4:5">
      <c r="E245"/>
    </row>
    <row r="246" spans="4:5">
      <c r="E246"/>
    </row>
    <row r="247" spans="4:5">
      <c r="E247"/>
    </row>
    <row r="248" spans="4:5">
      <c r="E248"/>
    </row>
    <row r="249" spans="4:5">
      <c r="E249"/>
    </row>
    <row r="250" spans="4:5">
      <c r="D250"/>
      <c r="E250"/>
    </row>
    <row r="251" spans="4:5">
      <c r="E251"/>
    </row>
    <row r="252" spans="4:5">
      <c r="E252"/>
    </row>
    <row r="253" spans="4:5">
      <c r="E253"/>
    </row>
    <row r="254" spans="4:5">
      <c r="E254"/>
    </row>
    <row r="255" spans="4:5">
      <c r="D255"/>
      <c r="E255"/>
    </row>
    <row r="256" spans="4:5">
      <c r="E256"/>
    </row>
    <row r="257" spans="4:5">
      <c r="E257"/>
    </row>
    <row r="258" spans="4:5">
      <c r="E258"/>
    </row>
    <row r="259" spans="4:5">
      <c r="D259"/>
      <c r="E259"/>
    </row>
    <row r="260" spans="4:5">
      <c r="E260"/>
    </row>
    <row r="261" spans="4:5">
      <c r="D261"/>
      <c r="E261"/>
    </row>
    <row r="262" spans="4:5">
      <c r="E262"/>
    </row>
    <row r="263" spans="4:5">
      <c r="E263"/>
    </row>
    <row r="264" spans="4:5">
      <c r="E264"/>
    </row>
    <row r="265" spans="4:5">
      <c r="E265"/>
    </row>
    <row r="266" spans="4:5">
      <c r="E266"/>
    </row>
    <row r="267" spans="4:5">
      <c r="E267"/>
    </row>
    <row r="268" spans="4:5">
      <c r="D268"/>
      <c r="E268"/>
    </row>
    <row r="269" spans="4:5">
      <c r="E269"/>
    </row>
    <row r="270" spans="4:5">
      <c r="E270"/>
    </row>
    <row r="271" spans="4:5">
      <c r="E271"/>
    </row>
    <row r="272" spans="4:5">
      <c r="E272"/>
    </row>
    <row r="273" spans="4:5">
      <c r="E273"/>
    </row>
    <row r="274" spans="4:5">
      <c r="D274"/>
      <c r="E274"/>
    </row>
    <row r="275" spans="4:5">
      <c r="E275"/>
    </row>
    <row r="276" spans="4:5">
      <c r="E276"/>
    </row>
    <row r="277" spans="4:5">
      <c r="E277"/>
    </row>
    <row r="278" spans="4:5">
      <c r="E278"/>
    </row>
    <row r="279" spans="4:5">
      <c r="D279"/>
      <c r="E279"/>
    </row>
    <row r="280" spans="4:5">
      <c r="E280"/>
    </row>
    <row r="281" spans="4:5">
      <c r="E281"/>
    </row>
    <row r="282" spans="4:5">
      <c r="E282"/>
    </row>
    <row r="283" spans="4:5">
      <c r="E283"/>
    </row>
    <row r="284" spans="4:5">
      <c r="E284"/>
    </row>
    <row r="285" spans="4:5">
      <c r="E285"/>
    </row>
    <row r="286" spans="4:5">
      <c r="D286"/>
      <c r="E286"/>
    </row>
    <row r="287" spans="4:5">
      <c r="D287"/>
      <c r="E287"/>
    </row>
    <row r="288" spans="4:5">
      <c r="E288"/>
    </row>
    <row r="289" spans="4:5">
      <c r="E289"/>
    </row>
    <row r="290" spans="4:5">
      <c r="D290"/>
      <c r="E290"/>
    </row>
    <row r="291" spans="4:5">
      <c r="E291"/>
    </row>
    <row r="292" spans="4:5">
      <c r="E292"/>
    </row>
    <row r="293" spans="4:5">
      <c r="E293"/>
    </row>
    <row r="294" spans="4:5">
      <c r="E294"/>
    </row>
    <row r="295" spans="4:5">
      <c r="E295"/>
    </row>
    <row r="296" spans="4:5">
      <c r="E296"/>
    </row>
    <row r="297" spans="4:5">
      <c r="E297"/>
    </row>
    <row r="298" spans="4:5">
      <c r="D298"/>
      <c r="E298"/>
    </row>
    <row r="299" spans="4:5">
      <c r="D299"/>
      <c r="E299"/>
    </row>
    <row r="300" spans="4:5">
      <c r="D300"/>
      <c r="E300"/>
    </row>
    <row r="301" spans="4:5">
      <c r="E301"/>
    </row>
    <row r="302" spans="4:5">
      <c r="D302"/>
      <c r="E302"/>
    </row>
    <row r="303" spans="4:5">
      <c r="E303"/>
    </row>
    <row r="304" spans="4:5">
      <c r="E304"/>
    </row>
    <row r="305" spans="4:5">
      <c r="D305"/>
      <c r="E305"/>
    </row>
    <row r="306" spans="4:5">
      <c r="E306"/>
    </row>
    <row r="307" spans="4:5">
      <c r="E307"/>
    </row>
    <row r="308" spans="4:5">
      <c r="D308"/>
      <c r="E308"/>
    </row>
    <row r="309" spans="4:5">
      <c r="E309"/>
    </row>
    <row r="310" spans="4:5">
      <c r="E310"/>
    </row>
    <row r="311" spans="4:5">
      <c r="E311"/>
    </row>
    <row r="312" spans="4:5">
      <c r="D312"/>
      <c r="E312"/>
    </row>
    <row r="313" spans="4:5">
      <c r="E313"/>
    </row>
    <row r="314" spans="4:5">
      <c r="E314"/>
    </row>
    <row r="315" spans="4:5">
      <c r="E315"/>
    </row>
    <row r="316" spans="4:5">
      <c r="E316"/>
    </row>
    <row r="317" spans="4:5">
      <c r="E317"/>
    </row>
    <row r="318" spans="4:5">
      <c r="D318"/>
      <c r="E318"/>
    </row>
    <row r="319" spans="4:5">
      <c r="E319"/>
    </row>
    <row r="320" spans="4:5">
      <c r="E320"/>
    </row>
    <row r="321" spans="4:5">
      <c r="E321"/>
    </row>
    <row r="322" spans="4:5">
      <c r="E322"/>
    </row>
    <row r="323" spans="4:5">
      <c r="E323"/>
    </row>
    <row r="324" spans="4:5">
      <c r="E324"/>
    </row>
    <row r="325" spans="4:5">
      <c r="E325"/>
    </row>
    <row r="326" spans="4:5">
      <c r="D326"/>
      <c r="E326"/>
    </row>
    <row r="327" spans="4:5">
      <c r="E327"/>
    </row>
    <row r="328" spans="4:5">
      <c r="E328"/>
    </row>
    <row r="329" spans="4:5">
      <c r="E329"/>
    </row>
    <row r="330" spans="4:5">
      <c r="E330"/>
    </row>
    <row r="331" spans="4:5">
      <c r="E331"/>
    </row>
    <row r="332" spans="4:5">
      <c r="D332"/>
      <c r="E332"/>
    </row>
    <row r="333" spans="4:5">
      <c r="E333"/>
    </row>
    <row r="334" spans="4:5">
      <c r="E334"/>
    </row>
    <row r="335" spans="4:5">
      <c r="E335"/>
    </row>
    <row r="336" spans="4:5">
      <c r="E336"/>
    </row>
    <row r="337" spans="2:5">
      <c r="E337"/>
    </row>
    <row r="338" spans="2:5">
      <c r="E338"/>
    </row>
    <row r="339" spans="2:5">
      <c r="E339"/>
    </row>
    <row r="340" spans="2:5">
      <c r="E340"/>
    </row>
    <row r="341" spans="2:5">
      <c r="E341"/>
    </row>
    <row r="342" spans="2:5">
      <c r="B342" s="2"/>
      <c r="E342"/>
    </row>
    <row r="343" spans="2:5">
      <c r="E343"/>
    </row>
    <row r="344" spans="2:5">
      <c r="E344"/>
    </row>
    <row r="345" spans="2:5">
      <c r="D345"/>
      <c r="E345"/>
    </row>
    <row r="346" spans="2:5">
      <c r="E346"/>
    </row>
    <row r="347" spans="2:5">
      <c r="E347"/>
    </row>
    <row r="348" spans="2:5">
      <c r="E348"/>
    </row>
    <row r="349" spans="2:5">
      <c r="E349"/>
    </row>
    <row r="350" spans="2:5">
      <c r="E350"/>
    </row>
    <row r="351" spans="2:5">
      <c r="E351"/>
    </row>
    <row r="352" spans="2:5">
      <c r="E352"/>
    </row>
    <row r="353" spans="4:5">
      <c r="D353"/>
      <c r="E353"/>
    </row>
    <row r="354" spans="4:5">
      <c r="E354"/>
    </row>
    <row r="355" spans="4:5">
      <c r="E355"/>
    </row>
    <row r="356" spans="4:5">
      <c r="E356"/>
    </row>
    <row r="357" spans="4:5">
      <c r="E357"/>
    </row>
    <row r="358" spans="4:5">
      <c r="E358"/>
    </row>
    <row r="359" spans="4:5">
      <c r="E359"/>
    </row>
    <row r="360" spans="4:5">
      <c r="E360"/>
    </row>
    <row r="361" spans="4:5">
      <c r="E361"/>
    </row>
    <row r="362" spans="4:5">
      <c r="E362"/>
    </row>
    <row r="363" spans="4:5">
      <c r="E363"/>
    </row>
    <row r="364" spans="4:5">
      <c r="E364"/>
    </row>
    <row r="365" spans="4:5">
      <c r="E365"/>
    </row>
    <row r="366" spans="4:5">
      <c r="D366"/>
      <c r="E366"/>
    </row>
    <row r="367" spans="4:5">
      <c r="D367"/>
      <c r="E367"/>
    </row>
    <row r="368" spans="4:5">
      <c r="E368"/>
    </row>
    <row r="369" spans="4:5">
      <c r="E369"/>
    </row>
    <row r="370" spans="4:5">
      <c r="D370"/>
      <c r="E370"/>
    </row>
    <row r="371" spans="4:5">
      <c r="D371"/>
      <c r="E371"/>
    </row>
    <row r="372" spans="4:5">
      <c r="E372"/>
    </row>
    <row r="373" spans="4:5">
      <c r="E373"/>
    </row>
    <row r="374" spans="4:5">
      <c r="E374"/>
    </row>
    <row r="375" spans="4:5">
      <c r="E375"/>
    </row>
    <row r="376" spans="4:5">
      <c r="E376"/>
    </row>
    <row r="377" spans="4:5">
      <c r="E377"/>
    </row>
    <row r="378" spans="4:5">
      <c r="E378"/>
    </row>
    <row r="379" spans="4:5">
      <c r="E379"/>
    </row>
    <row r="380" spans="4:5">
      <c r="E380"/>
    </row>
    <row r="381" spans="4:5">
      <c r="E381"/>
    </row>
    <row r="382" spans="4:5">
      <c r="E382"/>
    </row>
    <row r="383" spans="4:5">
      <c r="E383"/>
    </row>
    <row r="384" spans="4:5">
      <c r="E384"/>
    </row>
    <row r="385" spans="4:5">
      <c r="D385"/>
      <c r="E385"/>
    </row>
    <row r="386" spans="4:5">
      <c r="E386"/>
    </row>
    <row r="387" spans="4:5">
      <c r="D387"/>
      <c r="E387"/>
    </row>
    <row r="388" spans="4:5">
      <c r="D388"/>
      <c r="E388"/>
    </row>
    <row r="389" spans="4:5">
      <c r="E389"/>
    </row>
    <row r="390" spans="4:5">
      <c r="E390"/>
    </row>
    <row r="391" spans="4:5">
      <c r="E391"/>
    </row>
    <row r="392" spans="4:5">
      <c r="E392"/>
    </row>
    <row r="393" spans="4:5">
      <c r="E393"/>
    </row>
    <row r="394" spans="4:5">
      <c r="E394"/>
    </row>
    <row r="395" spans="4:5">
      <c r="E395"/>
    </row>
    <row r="396" spans="4:5">
      <c r="D396"/>
      <c r="E396"/>
    </row>
    <row r="397" spans="4:5">
      <c r="E397"/>
    </row>
    <row r="398" spans="4:5">
      <c r="E398"/>
    </row>
    <row r="399" spans="4:5">
      <c r="E399"/>
    </row>
    <row r="400" spans="4:5">
      <c r="D400"/>
      <c r="E400"/>
    </row>
    <row r="401" spans="4:5">
      <c r="E401"/>
    </row>
    <row r="402" spans="4:5">
      <c r="D402"/>
      <c r="E402"/>
    </row>
    <row r="403" spans="4:5">
      <c r="E403"/>
    </row>
    <row r="404" spans="4:5">
      <c r="D404"/>
      <c r="E404"/>
    </row>
    <row r="405" spans="4:5">
      <c r="E405"/>
    </row>
    <row r="406" spans="4:5">
      <c r="D406"/>
      <c r="E406"/>
    </row>
    <row r="407" spans="4:5">
      <c r="E407"/>
    </row>
    <row r="408" spans="4:5">
      <c r="D408"/>
      <c r="E408"/>
    </row>
    <row r="409" spans="4:5">
      <c r="E409"/>
    </row>
    <row r="410" spans="4:5">
      <c r="E410"/>
    </row>
    <row r="411" spans="4:5">
      <c r="E411"/>
    </row>
    <row r="412" spans="4:5">
      <c r="E412"/>
    </row>
    <row r="413" spans="4:5">
      <c r="D413"/>
    </row>
    <row r="416" spans="4:5">
      <c r="D416"/>
    </row>
    <row r="417" spans="4:5">
      <c r="D417"/>
    </row>
    <row r="418" spans="4:5">
      <c r="D418"/>
    </row>
    <row r="421" spans="4:5">
      <c r="D421"/>
    </row>
    <row r="428" spans="4:5">
      <c r="D428"/>
      <c r="E428"/>
    </row>
    <row r="429" spans="4:5">
      <c r="E429"/>
    </row>
    <row r="430" spans="4:5">
      <c r="E430"/>
    </row>
    <row r="431" spans="4:5">
      <c r="D431"/>
      <c r="E431"/>
    </row>
    <row r="432" spans="4:5">
      <c r="E432"/>
    </row>
    <row r="433" spans="4:5">
      <c r="E433"/>
    </row>
    <row r="434" spans="4:5">
      <c r="E434"/>
    </row>
    <row r="435" spans="4:5">
      <c r="E435"/>
    </row>
    <row r="436" spans="4:5">
      <c r="E436"/>
    </row>
    <row r="437" spans="4:5">
      <c r="E437"/>
    </row>
    <row r="438" spans="4:5">
      <c r="E438"/>
    </row>
    <row r="439" spans="4:5">
      <c r="E439"/>
    </row>
    <row r="440" spans="4:5">
      <c r="E440"/>
    </row>
    <row r="441" spans="4:5">
      <c r="E441"/>
    </row>
    <row r="442" spans="4:5">
      <c r="E442"/>
    </row>
    <row r="443" spans="4:5">
      <c r="E443"/>
    </row>
    <row r="444" spans="4:5">
      <c r="E444"/>
    </row>
    <row r="445" spans="4:5">
      <c r="E445"/>
    </row>
    <row r="446" spans="4:5">
      <c r="D446"/>
      <c r="E446"/>
    </row>
    <row r="447" spans="4:5">
      <c r="E447"/>
    </row>
    <row r="448" spans="4:5">
      <c r="D448"/>
      <c r="E448"/>
    </row>
    <row r="449" spans="4:5">
      <c r="E449"/>
    </row>
    <row r="450" spans="4:5">
      <c r="E450"/>
    </row>
    <row r="451" spans="4:5">
      <c r="E451"/>
    </row>
    <row r="452" spans="4:5">
      <c r="E452"/>
    </row>
    <row r="453" spans="4:5">
      <c r="E453"/>
    </row>
    <row r="454" spans="4:5">
      <c r="E454"/>
    </row>
    <row r="455" spans="4:5">
      <c r="E455"/>
    </row>
    <row r="456" spans="4:5">
      <c r="E456"/>
    </row>
    <row r="457" spans="4:5">
      <c r="E457"/>
    </row>
    <row r="458" spans="4:5">
      <c r="E458"/>
    </row>
    <row r="459" spans="4:5">
      <c r="E459"/>
    </row>
    <row r="460" spans="4:5">
      <c r="D460"/>
      <c r="E460"/>
    </row>
    <row r="461" spans="4:5">
      <c r="E461"/>
    </row>
    <row r="462" spans="4:5">
      <c r="E462"/>
    </row>
    <row r="463" spans="4:5">
      <c r="D463"/>
      <c r="E463"/>
    </row>
    <row r="464" spans="4:5">
      <c r="D464"/>
      <c r="E464"/>
    </row>
    <row r="465" spans="4:5">
      <c r="E465"/>
    </row>
    <row r="466" spans="4:5">
      <c r="E466"/>
    </row>
    <row r="467" spans="4:5">
      <c r="D467"/>
      <c r="E467"/>
    </row>
    <row r="468" spans="4:5">
      <c r="E468"/>
    </row>
    <row r="469" spans="4:5">
      <c r="E469"/>
    </row>
    <row r="470" spans="4:5">
      <c r="E470"/>
    </row>
    <row r="471" spans="4:5">
      <c r="E471"/>
    </row>
    <row r="472" spans="4:5">
      <c r="E472"/>
    </row>
    <row r="473" spans="4:5">
      <c r="D473"/>
      <c r="E473"/>
    </row>
    <row r="474" spans="4:5">
      <c r="D474"/>
      <c r="E474"/>
    </row>
    <row r="475" spans="4:5">
      <c r="D475"/>
      <c r="E475"/>
    </row>
    <row r="476" spans="4:5">
      <c r="E476"/>
    </row>
    <row r="477" spans="4:5">
      <c r="E477"/>
    </row>
    <row r="478" spans="4:5">
      <c r="E478"/>
    </row>
    <row r="479" spans="4:5">
      <c r="E479"/>
    </row>
    <row r="480" spans="4:5">
      <c r="E480"/>
    </row>
    <row r="481" spans="4:5">
      <c r="E481"/>
    </row>
    <row r="482" spans="4:5">
      <c r="D482"/>
      <c r="E482"/>
    </row>
    <row r="483" spans="4:5">
      <c r="E483"/>
    </row>
    <row r="484" spans="4:5">
      <c r="E484"/>
    </row>
    <row r="485" spans="4:5">
      <c r="E485"/>
    </row>
    <row r="486" spans="4:5">
      <c r="D486"/>
      <c r="E486"/>
    </row>
    <row r="487" spans="4:5">
      <c r="E487"/>
    </row>
    <row r="488" spans="4:5">
      <c r="E488"/>
    </row>
    <row r="489" spans="4:5">
      <c r="E489"/>
    </row>
    <row r="490" spans="4:5">
      <c r="E490"/>
    </row>
    <row r="491" spans="4:5">
      <c r="E491"/>
    </row>
    <row r="492" spans="4:5">
      <c r="E492"/>
    </row>
    <row r="493" spans="4:5">
      <c r="D493"/>
      <c r="E493"/>
    </row>
    <row r="494" spans="4:5">
      <c r="E494"/>
    </row>
    <row r="495" spans="4:5">
      <c r="E495"/>
    </row>
    <row r="496" spans="4:5">
      <c r="E496"/>
    </row>
    <row r="497" spans="4:5">
      <c r="D497"/>
      <c r="E497"/>
    </row>
    <row r="498" spans="4:5">
      <c r="E498"/>
    </row>
    <row r="499" spans="4:5">
      <c r="E499"/>
    </row>
    <row r="500" spans="4:5">
      <c r="D500"/>
      <c r="E500"/>
    </row>
    <row r="501" spans="4:5">
      <c r="E501"/>
    </row>
    <row r="502" spans="4:5">
      <c r="E502"/>
    </row>
    <row r="503" spans="4:5">
      <c r="E503"/>
    </row>
    <row r="504" spans="4:5">
      <c r="E504"/>
    </row>
    <row r="505" spans="4:5">
      <c r="D505"/>
      <c r="E505"/>
    </row>
    <row r="506" spans="4:5">
      <c r="D506"/>
      <c r="E506"/>
    </row>
    <row r="507" spans="4:5">
      <c r="E507"/>
    </row>
    <row r="508" spans="4:5">
      <c r="D508"/>
      <c r="E508"/>
    </row>
    <row r="509" spans="4:5">
      <c r="E509"/>
    </row>
    <row r="510" spans="4:5">
      <c r="E510"/>
    </row>
    <row r="511" spans="4:5">
      <c r="E511"/>
    </row>
    <row r="512" spans="4:5">
      <c r="E512"/>
    </row>
    <row r="513" spans="4:5">
      <c r="E513"/>
    </row>
    <row r="514" spans="4:5">
      <c r="D514"/>
      <c r="E514"/>
    </row>
    <row r="515" spans="4:5">
      <c r="E515"/>
    </row>
    <row r="516" spans="4:5">
      <c r="E516"/>
    </row>
    <row r="517" spans="4:5">
      <c r="E517"/>
    </row>
    <row r="518" spans="4:5">
      <c r="E518"/>
    </row>
    <row r="519" spans="4:5">
      <c r="E519"/>
    </row>
    <row r="520" spans="4:5">
      <c r="E520"/>
    </row>
    <row r="521" spans="4:5">
      <c r="E521"/>
    </row>
    <row r="522" spans="4:5">
      <c r="E522"/>
    </row>
    <row r="523" spans="4:5">
      <c r="E523"/>
    </row>
    <row r="524" spans="4:5">
      <c r="E524"/>
    </row>
    <row r="525" spans="4:5">
      <c r="E525"/>
    </row>
    <row r="526" spans="4:5">
      <c r="E526"/>
    </row>
    <row r="527" spans="4:5">
      <c r="E527"/>
    </row>
    <row r="528" spans="4:5">
      <c r="E528"/>
    </row>
    <row r="529" spans="4:5">
      <c r="E529"/>
    </row>
    <row r="530" spans="4:5">
      <c r="E530"/>
    </row>
    <row r="531" spans="4:5">
      <c r="E531"/>
    </row>
    <row r="532" spans="4:5">
      <c r="E532"/>
    </row>
    <row r="533" spans="4:5">
      <c r="E533"/>
    </row>
    <row r="534" spans="4:5">
      <c r="E534"/>
    </row>
    <row r="535" spans="4:5">
      <c r="E535"/>
    </row>
    <row r="536" spans="4:5">
      <c r="E536"/>
    </row>
    <row r="537" spans="4:5">
      <c r="E537"/>
    </row>
    <row r="538" spans="4:5">
      <c r="E538"/>
    </row>
    <row r="539" spans="4:5">
      <c r="D539"/>
      <c r="E539"/>
    </row>
    <row r="540" spans="4:5">
      <c r="E540"/>
    </row>
    <row r="541" spans="4:5">
      <c r="E541"/>
    </row>
    <row r="542" spans="4:5">
      <c r="E542"/>
    </row>
    <row r="543" spans="4:5">
      <c r="E543"/>
    </row>
    <row r="544" spans="4:5">
      <c r="E544"/>
    </row>
    <row r="545" spans="4:5">
      <c r="E545"/>
    </row>
    <row r="546" spans="4:5">
      <c r="E546"/>
    </row>
    <row r="547" spans="4:5">
      <c r="E547"/>
    </row>
    <row r="548" spans="4:5">
      <c r="E548"/>
    </row>
    <row r="549" spans="4:5">
      <c r="E549"/>
    </row>
    <row r="550" spans="4:5">
      <c r="D550"/>
      <c r="E550"/>
    </row>
    <row r="551" spans="4:5">
      <c r="E551"/>
    </row>
    <row r="552" spans="4:5">
      <c r="D552"/>
      <c r="E552"/>
    </row>
    <row r="553" spans="4:5">
      <c r="E553"/>
    </row>
    <row r="554" spans="4:5">
      <c r="E554"/>
    </row>
    <row r="555" spans="4:5">
      <c r="D555"/>
      <c r="E555"/>
    </row>
    <row r="556" spans="4:5">
      <c r="E556"/>
    </row>
    <row r="557" spans="4:5">
      <c r="E557"/>
    </row>
    <row r="558" spans="4:5">
      <c r="E558"/>
    </row>
    <row r="559" spans="4:5">
      <c r="E559"/>
    </row>
    <row r="560" spans="4:5">
      <c r="D560"/>
      <c r="E560"/>
    </row>
    <row r="561" spans="4:5">
      <c r="E561"/>
    </row>
    <row r="562" spans="4:5">
      <c r="E562"/>
    </row>
    <row r="563" spans="4:5">
      <c r="E563"/>
    </row>
    <row r="564" spans="4:5">
      <c r="E564"/>
    </row>
    <row r="565" spans="4:5">
      <c r="D565"/>
      <c r="E565"/>
    </row>
    <row r="566" spans="4:5">
      <c r="E566"/>
    </row>
    <row r="567" spans="4:5">
      <c r="E567"/>
    </row>
    <row r="568" spans="4:5">
      <c r="D568"/>
      <c r="E568"/>
    </row>
    <row r="569" spans="4:5">
      <c r="E569"/>
    </row>
    <row r="570" spans="4:5">
      <c r="E570"/>
    </row>
    <row r="571" spans="4:5">
      <c r="E571"/>
    </row>
    <row r="572" spans="4:5">
      <c r="E572"/>
    </row>
    <row r="573" spans="4:5">
      <c r="E573"/>
    </row>
    <row r="574" spans="4:5">
      <c r="E574"/>
    </row>
    <row r="575" spans="4:5">
      <c r="E575"/>
    </row>
    <row r="576" spans="4:5">
      <c r="E576"/>
    </row>
    <row r="577" spans="4:5">
      <c r="E577"/>
    </row>
    <row r="578" spans="4:5">
      <c r="E578"/>
    </row>
    <row r="579" spans="4:5">
      <c r="E579"/>
    </row>
    <row r="580" spans="4:5">
      <c r="E580"/>
    </row>
    <row r="581" spans="4:5">
      <c r="E581"/>
    </row>
    <row r="582" spans="4:5">
      <c r="E582"/>
    </row>
    <row r="583" spans="4:5">
      <c r="D583"/>
      <c r="E583"/>
    </row>
    <row r="584" spans="4:5">
      <c r="D584"/>
      <c r="E584"/>
    </row>
    <row r="585" spans="4:5">
      <c r="E585"/>
    </row>
    <row r="586" spans="4:5">
      <c r="E586"/>
    </row>
    <row r="587" spans="4:5">
      <c r="E587"/>
    </row>
    <row r="588" spans="4:5">
      <c r="D588"/>
      <c r="E588"/>
    </row>
    <row r="589" spans="4:5">
      <c r="D589"/>
      <c r="E589"/>
    </row>
    <row r="590" spans="4:5">
      <c r="E590"/>
    </row>
    <row r="591" spans="4:5">
      <c r="E591"/>
    </row>
    <row r="592" spans="4:5">
      <c r="E592"/>
    </row>
    <row r="593" spans="4:5">
      <c r="D593"/>
      <c r="E593"/>
    </row>
    <row r="594" spans="4:5">
      <c r="E594"/>
    </row>
    <row r="595" spans="4:5">
      <c r="E595"/>
    </row>
    <row r="596" spans="4:5">
      <c r="E596"/>
    </row>
    <row r="597" spans="4:5">
      <c r="E597"/>
    </row>
    <row r="598" spans="4:5">
      <c r="E598"/>
    </row>
    <row r="599" spans="4:5">
      <c r="E599"/>
    </row>
    <row r="600" spans="4:5">
      <c r="D600"/>
      <c r="E600"/>
    </row>
    <row r="601" spans="4:5">
      <c r="D601"/>
      <c r="E601"/>
    </row>
    <row r="602" spans="4:5">
      <c r="E602"/>
    </row>
    <row r="603" spans="4:5">
      <c r="D603"/>
      <c r="E603"/>
    </row>
    <row r="604" spans="4:5">
      <c r="D604"/>
      <c r="E604"/>
    </row>
    <row r="605" spans="4:5">
      <c r="D605"/>
      <c r="E605"/>
    </row>
    <row r="606" spans="4:5">
      <c r="E606"/>
    </row>
    <row r="607" spans="4:5">
      <c r="E607"/>
    </row>
    <row r="608" spans="4:5">
      <c r="E608"/>
    </row>
    <row r="609" spans="4:5">
      <c r="E609"/>
    </row>
    <row r="610" spans="4:5">
      <c r="E610"/>
    </row>
    <row r="611" spans="4:5">
      <c r="E611"/>
    </row>
    <row r="612" spans="4:5">
      <c r="E612"/>
    </row>
    <row r="613" spans="4:5">
      <c r="E613"/>
    </row>
    <row r="614" spans="4:5">
      <c r="E614"/>
    </row>
    <row r="615" spans="4:5">
      <c r="E615"/>
    </row>
    <row r="616" spans="4:5">
      <c r="D616"/>
      <c r="E616"/>
    </row>
    <row r="617" spans="4:5">
      <c r="D617"/>
      <c r="E617"/>
    </row>
    <row r="618" spans="4:5">
      <c r="E618"/>
    </row>
    <row r="619" spans="4:5">
      <c r="E619"/>
    </row>
    <row r="620" spans="4:5">
      <c r="E620"/>
    </row>
    <row r="621" spans="4:5">
      <c r="E621"/>
    </row>
    <row r="622" spans="4:5">
      <c r="E622"/>
    </row>
    <row r="623" spans="4:5">
      <c r="D623"/>
      <c r="E623"/>
    </row>
    <row r="624" spans="4:5">
      <c r="E624"/>
    </row>
    <row r="625" spans="4:5">
      <c r="E625"/>
    </row>
    <row r="626" spans="4:5">
      <c r="E626"/>
    </row>
    <row r="627" spans="4:5">
      <c r="D627"/>
      <c r="E627"/>
    </row>
    <row r="628" spans="4:5">
      <c r="E628"/>
    </row>
    <row r="629" spans="4:5">
      <c r="E629"/>
    </row>
    <row r="630" spans="4:5">
      <c r="E630"/>
    </row>
    <row r="631" spans="4:5">
      <c r="E631"/>
    </row>
    <row r="632" spans="4:5">
      <c r="E632"/>
    </row>
    <row r="633" spans="4:5">
      <c r="E633"/>
    </row>
    <row r="634" spans="4:5">
      <c r="E634"/>
    </row>
    <row r="635" spans="4:5">
      <c r="E635"/>
    </row>
    <row r="636" spans="4:5">
      <c r="E636"/>
    </row>
    <row r="637" spans="4:5">
      <c r="E637"/>
    </row>
    <row r="638" spans="4:5">
      <c r="E638"/>
    </row>
    <row r="639" spans="4:5">
      <c r="E639"/>
    </row>
    <row r="640" spans="4:5">
      <c r="E640"/>
    </row>
    <row r="641" spans="4:5">
      <c r="D641"/>
      <c r="E641"/>
    </row>
    <row r="642" spans="4:5">
      <c r="D642"/>
      <c r="E642"/>
    </row>
    <row r="643" spans="4:5">
      <c r="D643"/>
      <c r="E643"/>
    </row>
    <row r="644" spans="4:5">
      <c r="E644"/>
    </row>
    <row r="645" spans="4:5">
      <c r="E645"/>
    </row>
    <row r="646" spans="4:5">
      <c r="E646"/>
    </row>
    <row r="647" spans="4:5">
      <c r="D647"/>
      <c r="E647"/>
    </row>
    <row r="648" spans="4:5">
      <c r="E648"/>
    </row>
    <row r="649" spans="4:5">
      <c r="E649"/>
    </row>
    <row r="650" spans="4:5">
      <c r="D650"/>
      <c r="E650"/>
    </row>
    <row r="651" spans="4:5">
      <c r="E651"/>
    </row>
    <row r="652" spans="4:5">
      <c r="E652"/>
    </row>
    <row r="653" spans="4:5">
      <c r="E653"/>
    </row>
    <row r="654" spans="4:5">
      <c r="E654"/>
    </row>
    <row r="655" spans="4:5">
      <c r="E655"/>
    </row>
    <row r="656" spans="4:5">
      <c r="E656"/>
    </row>
    <row r="657" spans="4:5">
      <c r="E657"/>
    </row>
    <row r="658" spans="4:5">
      <c r="E658"/>
    </row>
    <row r="659" spans="4:5">
      <c r="D659"/>
      <c r="E659"/>
    </row>
    <row r="660" spans="4:5">
      <c r="E660"/>
    </row>
    <row r="661" spans="4:5">
      <c r="E661"/>
    </row>
    <row r="662" spans="4:5">
      <c r="D662"/>
      <c r="E662"/>
    </row>
    <row r="663" spans="4:5">
      <c r="E663"/>
    </row>
    <row r="664" spans="4:5">
      <c r="D664"/>
      <c r="E664"/>
    </row>
    <row r="665" spans="4:5">
      <c r="E665"/>
    </row>
    <row r="666" spans="4:5">
      <c r="D666"/>
      <c r="E666"/>
    </row>
    <row r="667" spans="4:5">
      <c r="E667"/>
    </row>
    <row r="668" spans="4:5">
      <c r="E668"/>
    </row>
    <row r="669" spans="4:5">
      <c r="E669"/>
    </row>
    <row r="670" spans="4:5">
      <c r="D670"/>
      <c r="E670"/>
    </row>
    <row r="671" spans="4:5">
      <c r="E671"/>
    </row>
    <row r="672" spans="4:5">
      <c r="E672"/>
    </row>
    <row r="673" spans="4:5">
      <c r="E673"/>
    </row>
    <row r="674" spans="4:5">
      <c r="E674"/>
    </row>
    <row r="675" spans="4:5">
      <c r="E675"/>
    </row>
    <row r="676" spans="4:5">
      <c r="E676"/>
    </row>
    <row r="677" spans="4:5">
      <c r="D677"/>
      <c r="E677"/>
    </row>
    <row r="678" spans="4:5">
      <c r="D678"/>
      <c r="E678"/>
    </row>
    <row r="679" spans="4:5">
      <c r="D679"/>
      <c r="E679"/>
    </row>
    <row r="680" spans="4:5">
      <c r="E680"/>
    </row>
    <row r="681" spans="4:5">
      <c r="E681"/>
    </row>
    <row r="682" spans="4:5">
      <c r="E682"/>
    </row>
    <row r="683" spans="4:5">
      <c r="D683"/>
      <c r="E683"/>
    </row>
    <row r="684" spans="4:5">
      <c r="E684"/>
    </row>
    <row r="685" spans="4:5">
      <c r="E685"/>
    </row>
    <row r="686" spans="4:5">
      <c r="E686"/>
    </row>
    <row r="687" spans="4:5">
      <c r="E687"/>
    </row>
    <row r="688" spans="4:5">
      <c r="E688"/>
    </row>
    <row r="689" spans="4:5">
      <c r="E689"/>
    </row>
    <row r="690" spans="4:5">
      <c r="E690"/>
    </row>
    <row r="691" spans="4:5">
      <c r="E691"/>
    </row>
    <row r="692" spans="4:5">
      <c r="E692"/>
    </row>
    <row r="693" spans="4:5">
      <c r="E693"/>
    </row>
    <row r="694" spans="4:5">
      <c r="E694"/>
    </row>
    <row r="695" spans="4:5">
      <c r="E695"/>
    </row>
    <row r="696" spans="4:5">
      <c r="D696"/>
      <c r="E696"/>
    </row>
    <row r="697" spans="4:5">
      <c r="D697"/>
      <c r="E697"/>
    </row>
    <row r="698" spans="4:5">
      <c r="E698"/>
    </row>
    <row r="699" spans="4:5">
      <c r="E699"/>
    </row>
    <row r="700" spans="4:5">
      <c r="E700"/>
    </row>
    <row r="701" spans="4:5">
      <c r="E701"/>
    </row>
    <row r="702" spans="4:5">
      <c r="E702"/>
    </row>
    <row r="703" spans="4:5">
      <c r="E703"/>
    </row>
    <row r="704" spans="4:5">
      <c r="E704"/>
    </row>
    <row r="705" spans="4:5">
      <c r="E705"/>
    </row>
    <row r="706" spans="4:5">
      <c r="D706"/>
      <c r="E706"/>
    </row>
    <row r="707" spans="4:5">
      <c r="E707"/>
    </row>
    <row r="708" spans="4:5">
      <c r="D708"/>
      <c r="E708"/>
    </row>
    <row r="709" spans="4:5">
      <c r="D709"/>
      <c r="E709"/>
    </row>
    <row r="710" spans="4:5">
      <c r="D710"/>
      <c r="E710"/>
    </row>
    <row r="711" spans="4:5">
      <c r="E711"/>
    </row>
    <row r="712" spans="4:5">
      <c r="E712"/>
    </row>
    <row r="713" spans="4:5">
      <c r="E713"/>
    </row>
    <row r="714" spans="4:5">
      <c r="E714"/>
    </row>
    <row r="715" spans="4:5">
      <c r="E715"/>
    </row>
    <row r="716" spans="4:5">
      <c r="E716"/>
    </row>
    <row r="717" spans="4:5">
      <c r="E717"/>
    </row>
    <row r="718" spans="4:5">
      <c r="E718"/>
    </row>
    <row r="719" spans="4:5">
      <c r="D719"/>
      <c r="E719"/>
    </row>
    <row r="720" spans="4:5">
      <c r="E720"/>
    </row>
    <row r="721" spans="5:5">
      <c r="E721"/>
    </row>
    <row r="722" spans="5:5">
      <c r="E722"/>
    </row>
    <row r="723" spans="5:5">
      <c r="E723"/>
    </row>
    <row r="724" spans="5:5">
      <c r="E724"/>
    </row>
    <row r="725" spans="5:5">
      <c r="E725"/>
    </row>
    <row r="726" spans="5:5">
      <c r="E726"/>
    </row>
    <row r="727" spans="5:5">
      <c r="E727"/>
    </row>
    <row r="728" spans="5:5">
      <c r="E728"/>
    </row>
    <row r="729" spans="5:5">
      <c r="E729"/>
    </row>
    <row r="730" spans="5:5">
      <c r="E730"/>
    </row>
    <row r="731" spans="5:5">
      <c r="E731"/>
    </row>
    <row r="732" spans="5:5">
      <c r="E732"/>
    </row>
    <row r="733" spans="5:5">
      <c r="E733"/>
    </row>
    <row r="734" spans="5:5">
      <c r="E734"/>
    </row>
    <row r="735" spans="5:5">
      <c r="E735"/>
    </row>
    <row r="736" spans="5:5">
      <c r="E736"/>
    </row>
    <row r="737" spans="3:5">
      <c r="E737"/>
    </row>
    <row r="738" spans="3:5">
      <c r="D738"/>
      <c r="E738"/>
    </row>
    <row r="739" spans="3:5">
      <c r="E739"/>
    </row>
    <row r="740" spans="3:5">
      <c r="E740"/>
    </row>
    <row r="741" spans="3:5">
      <c r="E741"/>
    </row>
    <row r="742" spans="3:5">
      <c r="D742"/>
      <c r="E742"/>
    </row>
    <row r="743" spans="3:5">
      <c r="E743"/>
    </row>
    <row r="744" spans="3:5">
      <c r="C744" s="101"/>
      <c r="D744"/>
      <c r="E744"/>
    </row>
    <row r="745" spans="3:5">
      <c r="E745"/>
    </row>
    <row r="746" spans="3:5">
      <c r="E746"/>
    </row>
    <row r="747" spans="3:5">
      <c r="E747"/>
    </row>
    <row r="748" spans="3:5">
      <c r="E748"/>
    </row>
    <row r="749" spans="3:5">
      <c r="E749"/>
    </row>
    <row r="750" spans="3:5">
      <c r="E750"/>
    </row>
    <row r="751" spans="3:5">
      <c r="D751"/>
      <c r="E751"/>
    </row>
    <row r="752" spans="3:5">
      <c r="E752"/>
    </row>
    <row r="753" spans="4:5">
      <c r="E753"/>
    </row>
    <row r="754" spans="4:5">
      <c r="E754"/>
    </row>
    <row r="755" spans="4:5">
      <c r="E755"/>
    </row>
    <row r="756" spans="4:5">
      <c r="E756"/>
    </row>
    <row r="757" spans="4:5">
      <c r="E757"/>
    </row>
    <row r="758" spans="4:5">
      <c r="E758"/>
    </row>
    <row r="759" spans="4:5">
      <c r="D759"/>
      <c r="E759"/>
    </row>
    <row r="760" spans="4:5">
      <c r="D760"/>
      <c r="E760"/>
    </row>
    <row r="761" spans="4:5">
      <c r="E761"/>
    </row>
    <row r="762" spans="4:5">
      <c r="E762"/>
    </row>
    <row r="763" spans="4:5">
      <c r="E763"/>
    </row>
    <row r="764" spans="4:5">
      <c r="E764"/>
    </row>
    <row r="765" spans="4:5">
      <c r="D765"/>
      <c r="E765"/>
    </row>
    <row r="766" spans="4:5">
      <c r="D766"/>
      <c r="E766"/>
    </row>
    <row r="767" spans="4:5">
      <c r="E767"/>
    </row>
    <row r="768" spans="4:5">
      <c r="D768"/>
      <c r="E768"/>
    </row>
    <row r="769" spans="4:5">
      <c r="E769"/>
    </row>
    <row r="770" spans="4:5">
      <c r="E770"/>
    </row>
    <row r="771" spans="4:5">
      <c r="D771"/>
      <c r="E771"/>
    </row>
    <row r="772" spans="4:5">
      <c r="E772"/>
    </row>
    <row r="773" spans="4:5">
      <c r="E773"/>
    </row>
    <row r="774" spans="4:5">
      <c r="D774"/>
      <c r="E774"/>
    </row>
    <row r="775" spans="4:5">
      <c r="D775"/>
      <c r="E775"/>
    </row>
    <row r="776" spans="4:5">
      <c r="E776"/>
    </row>
    <row r="777" spans="4:5">
      <c r="E777"/>
    </row>
    <row r="778" spans="4:5">
      <c r="E778"/>
    </row>
    <row r="779" spans="4:5">
      <c r="E779"/>
    </row>
    <row r="780" spans="4:5">
      <c r="E780"/>
    </row>
    <row r="781" spans="4:5">
      <c r="D781"/>
      <c r="E781"/>
    </row>
    <row r="782" spans="4:5">
      <c r="E782"/>
    </row>
    <row r="783" spans="4:5">
      <c r="E783"/>
    </row>
    <row r="784" spans="4:5">
      <c r="D784"/>
      <c r="E784"/>
    </row>
    <row r="785" spans="4:5">
      <c r="D785"/>
      <c r="E785"/>
    </row>
    <row r="786" spans="4:5">
      <c r="D786"/>
      <c r="E786"/>
    </row>
    <row r="787" spans="4:5">
      <c r="D787"/>
      <c r="E787"/>
    </row>
    <row r="788" spans="4:5">
      <c r="D788"/>
      <c r="E788"/>
    </row>
    <row r="789" spans="4:5">
      <c r="E789"/>
    </row>
    <row r="790" spans="4:5">
      <c r="D790"/>
      <c r="E790"/>
    </row>
    <row r="791" spans="4:5">
      <c r="E791"/>
    </row>
    <row r="792" spans="4:5">
      <c r="E792"/>
    </row>
    <row r="793" spans="4:5">
      <c r="E793"/>
    </row>
    <row r="794" spans="4:5">
      <c r="E794"/>
    </row>
    <row r="795" spans="4:5">
      <c r="E795"/>
    </row>
    <row r="796" spans="4:5">
      <c r="E796"/>
    </row>
    <row r="797" spans="4:5">
      <c r="E797"/>
    </row>
    <row r="798" spans="4:5">
      <c r="E798"/>
    </row>
    <row r="799" spans="4:5">
      <c r="E799"/>
    </row>
    <row r="800" spans="4:5">
      <c r="E800"/>
    </row>
    <row r="801" spans="4:5">
      <c r="E801"/>
    </row>
    <row r="802" spans="4:5">
      <c r="E802"/>
    </row>
    <row r="803" spans="4:5">
      <c r="E803"/>
    </row>
    <row r="804" spans="4:5">
      <c r="E804"/>
    </row>
    <row r="805" spans="4:5">
      <c r="E805"/>
    </row>
    <row r="806" spans="4:5">
      <c r="E806"/>
    </row>
    <row r="807" spans="4:5">
      <c r="D807"/>
      <c r="E807"/>
    </row>
    <row r="808" spans="4:5">
      <c r="D808"/>
      <c r="E808"/>
    </row>
    <row r="809" spans="4:5">
      <c r="D809"/>
      <c r="E809"/>
    </row>
    <row r="810" spans="4:5">
      <c r="D810"/>
      <c r="E810"/>
    </row>
    <row r="811" spans="4:5">
      <c r="E811"/>
    </row>
    <row r="812" spans="4:5">
      <c r="E812"/>
    </row>
    <row r="813" spans="4:5">
      <c r="E813"/>
    </row>
    <row r="814" spans="4:5">
      <c r="E814"/>
    </row>
    <row r="815" spans="4:5">
      <c r="E815"/>
    </row>
    <row r="816" spans="4:5">
      <c r="E816"/>
    </row>
    <row r="817" spans="4:5">
      <c r="D817"/>
      <c r="E817"/>
    </row>
    <row r="818" spans="4:5">
      <c r="E818"/>
    </row>
    <row r="819" spans="4:5">
      <c r="E819"/>
    </row>
    <row r="820" spans="4:5">
      <c r="E820"/>
    </row>
    <row r="821" spans="4:5">
      <c r="E821"/>
    </row>
    <row r="822" spans="4:5">
      <c r="E822"/>
    </row>
    <row r="823" spans="4:5">
      <c r="E823"/>
    </row>
    <row r="824" spans="4:5">
      <c r="E824"/>
    </row>
    <row r="825" spans="4:5">
      <c r="E825"/>
    </row>
    <row r="826" spans="4:5">
      <c r="E826"/>
    </row>
    <row r="827" spans="4:5">
      <c r="E827"/>
    </row>
    <row r="828" spans="4:5">
      <c r="E828"/>
    </row>
    <row r="829" spans="4:5">
      <c r="E829"/>
    </row>
    <row r="830" spans="4:5">
      <c r="E830"/>
    </row>
    <row r="831" spans="4:5">
      <c r="D831"/>
      <c r="E831"/>
    </row>
    <row r="832" spans="4:5">
      <c r="E832"/>
    </row>
    <row r="833" spans="4:5">
      <c r="D833"/>
      <c r="E833"/>
    </row>
    <row r="834" spans="4:5">
      <c r="E834"/>
    </row>
    <row r="835" spans="4:5">
      <c r="D835"/>
      <c r="E835"/>
    </row>
    <row r="836" spans="4:5">
      <c r="E836"/>
    </row>
    <row r="851" spans="2:3">
      <c r="B851" s="40"/>
    </row>
    <row r="854" spans="2:3">
      <c r="C854" s="89"/>
    </row>
    <row r="886" spans="3:4">
      <c r="C886" s="96"/>
    </row>
    <row r="894" spans="3:4">
      <c r="D894"/>
    </row>
    <row r="961" spans="3:3">
      <c r="C961" s="10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F423"/>
  <sheetViews>
    <sheetView zoomScaleNormal="100" workbookViewId="0">
      <selection activeCell="C1" sqref="C1"/>
    </sheetView>
  </sheetViews>
  <sheetFormatPr defaultColWidth="11.07421875" defaultRowHeight="14.6"/>
  <cols>
    <col min="1" max="2" width="44.3828125" bestFit="1" customWidth="1"/>
    <col min="3" max="3" width="44.53515625" bestFit="1" customWidth="1"/>
    <col min="4" max="4" width="8.15234375" bestFit="1" customWidth="1"/>
    <col min="5" max="5" width="14.69140625" bestFit="1" customWidth="1"/>
    <col min="6" max="6" width="15" style="7" bestFit="1" customWidth="1"/>
  </cols>
  <sheetData>
    <row r="1" spans="1:6" s="101" customFormat="1">
      <c r="A1" s="101" t="s">
        <v>2</v>
      </c>
      <c r="B1" s="101" t="s">
        <v>16</v>
      </c>
      <c r="C1" s="101" t="s">
        <v>180</v>
      </c>
      <c r="D1" s="101" t="s">
        <v>181</v>
      </c>
      <c r="E1" s="101" t="s">
        <v>185</v>
      </c>
      <c r="F1" s="102" t="s">
        <v>184</v>
      </c>
    </row>
    <row r="2" spans="1:6">
      <c r="E2" s="7"/>
    </row>
    <row r="3" spans="1:6">
      <c r="E3" s="7"/>
    </row>
    <row r="4" spans="1:6">
      <c r="E4" s="7"/>
    </row>
    <row r="5" spans="1:6">
      <c r="E5" s="7"/>
    </row>
    <row r="6" spans="1:6">
      <c r="E6" s="7"/>
    </row>
    <row r="7" spans="1:6">
      <c r="E7" s="7"/>
    </row>
    <row r="8" spans="1:6">
      <c r="E8" s="7"/>
    </row>
    <row r="9" spans="1:6">
      <c r="E9" s="7"/>
    </row>
    <row r="10" spans="1:6">
      <c r="E10" s="7"/>
    </row>
    <row r="11" spans="1:6">
      <c r="E11" s="7"/>
    </row>
    <row r="12" spans="1:6">
      <c r="E12" s="7"/>
    </row>
    <row r="13" spans="1:6">
      <c r="E13" s="7"/>
    </row>
    <row r="14" spans="1:6">
      <c r="E14" s="7"/>
    </row>
    <row r="15" spans="1:6">
      <c r="E15" s="7"/>
    </row>
    <row r="16" spans="1:6">
      <c r="E16" s="7"/>
    </row>
    <row r="17" spans="3:5">
      <c r="E17" s="7"/>
    </row>
    <row r="18" spans="3:5">
      <c r="E18" s="7"/>
    </row>
    <row r="19" spans="3:5">
      <c r="E19" s="7"/>
    </row>
    <row r="20" spans="3:5">
      <c r="E20" s="7"/>
    </row>
    <row r="21" spans="3:5">
      <c r="E21" s="7"/>
    </row>
    <row r="22" spans="3:5">
      <c r="E22" s="7"/>
    </row>
    <row r="23" spans="3:5">
      <c r="E23" s="7"/>
    </row>
    <row r="24" spans="3:5">
      <c r="E24" s="7"/>
    </row>
    <row r="25" spans="3:5">
      <c r="E25" s="7"/>
    </row>
    <row r="26" spans="3:5">
      <c r="E26" s="7"/>
    </row>
    <row r="27" spans="3:5">
      <c r="E27" s="7"/>
    </row>
    <row r="28" spans="3:5">
      <c r="E28" s="7"/>
    </row>
    <row r="29" spans="3:5">
      <c r="C29" s="101"/>
      <c r="E29" s="7"/>
    </row>
    <row r="30" spans="3:5">
      <c r="E30" s="7"/>
    </row>
    <row r="31" spans="3:5">
      <c r="E31" s="7"/>
    </row>
    <row r="32" spans="3:5">
      <c r="E32" s="7"/>
    </row>
    <row r="33" spans="5:5">
      <c r="E33" s="7"/>
    </row>
    <row r="34" spans="5:5">
      <c r="E34" s="7"/>
    </row>
    <row r="35" spans="5:5">
      <c r="E35" s="7"/>
    </row>
    <row r="36" spans="5:5">
      <c r="E36" s="7"/>
    </row>
    <row r="37" spans="5:5">
      <c r="E37" s="7"/>
    </row>
    <row r="38" spans="5:5">
      <c r="E38" s="7"/>
    </row>
    <row r="39" spans="5:5">
      <c r="E39" s="7"/>
    </row>
    <row r="40" spans="5:5">
      <c r="E40" s="7"/>
    </row>
    <row r="41" spans="5:5">
      <c r="E41" s="7"/>
    </row>
    <row r="42" spans="5:5">
      <c r="E42" s="7"/>
    </row>
    <row r="43" spans="5:5">
      <c r="E43" s="7"/>
    </row>
    <row r="44" spans="5:5">
      <c r="E44" s="7"/>
    </row>
    <row r="45" spans="5:5">
      <c r="E45" s="7"/>
    </row>
    <row r="46" spans="5:5">
      <c r="E46" s="7"/>
    </row>
    <row r="47" spans="5:5">
      <c r="E47" s="7"/>
    </row>
    <row r="48" spans="5:5">
      <c r="E48" s="7"/>
    </row>
    <row r="49" spans="5:5">
      <c r="E49" s="7"/>
    </row>
    <row r="50" spans="5:5">
      <c r="E50" s="7"/>
    </row>
    <row r="51" spans="5:5">
      <c r="E51" s="7"/>
    </row>
    <row r="52" spans="5:5">
      <c r="E52" s="7"/>
    </row>
    <row r="53" spans="5:5">
      <c r="E53" s="7"/>
    </row>
    <row r="54" spans="5:5">
      <c r="E54" s="7"/>
    </row>
    <row r="55" spans="5:5">
      <c r="E55" s="7"/>
    </row>
    <row r="56" spans="5:5">
      <c r="E56" s="7"/>
    </row>
    <row r="57" spans="5:5">
      <c r="E57" s="7"/>
    </row>
    <row r="58" spans="5:5">
      <c r="E58" s="7"/>
    </row>
    <row r="59" spans="5:5">
      <c r="E59" s="7"/>
    </row>
    <row r="60" spans="5:5">
      <c r="E60" s="7"/>
    </row>
    <row r="61" spans="5:5">
      <c r="E61" s="7"/>
    </row>
    <row r="62" spans="5:5">
      <c r="E62" s="7"/>
    </row>
    <row r="63" spans="5:5">
      <c r="E63" s="7"/>
    </row>
    <row r="64" spans="5:5">
      <c r="E64" s="7"/>
    </row>
    <row r="65" spans="5:5">
      <c r="E65" s="7"/>
    </row>
    <row r="66" spans="5:5">
      <c r="E66" s="7"/>
    </row>
    <row r="67" spans="5:5">
      <c r="E67" s="7"/>
    </row>
    <row r="68" spans="5:5">
      <c r="E68" s="7"/>
    </row>
    <row r="69" spans="5:5">
      <c r="E69" s="7"/>
    </row>
    <row r="70" spans="5:5">
      <c r="E70" s="7"/>
    </row>
    <row r="71" spans="5:5">
      <c r="E71" s="7"/>
    </row>
    <row r="72" spans="5:5">
      <c r="E72" s="7"/>
    </row>
    <row r="73" spans="5:5">
      <c r="E73" s="7"/>
    </row>
    <row r="74" spans="5:5">
      <c r="E74" s="7"/>
    </row>
    <row r="75" spans="5:5">
      <c r="E75" s="7"/>
    </row>
    <row r="76" spans="5:5">
      <c r="E76" s="7"/>
    </row>
    <row r="77" spans="5:5">
      <c r="E77" s="7"/>
    </row>
    <row r="78" spans="5:5">
      <c r="E78" s="7"/>
    </row>
    <row r="79" spans="5:5">
      <c r="E79" s="7"/>
    </row>
    <row r="80" spans="5:5">
      <c r="E80" s="7"/>
    </row>
    <row r="81" spans="5:5">
      <c r="E81" s="7"/>
    </row>
    <row r="82" spans="5:5">
      <c r="E82" s="7"/>
    </row>
    <row r="83" spans="5:5">
      <c r="E83" s="7"/>
    </row>
    <row r="84" spans="5:5">
      <c r="E84" s="7"/>
    </row>
    <row r="85" spans="5:5">
      <c r="E85" s="7"/>
    </row>
    <row r="86" spans="5:5">
      <c r="E86" s="7"/>
    </row>
    <row r="87" spans="5:5">
      <c r="E87" s="7"/>
    </row>
    <row r="88" spans="5:5">
      <c r="E88" s="7"/>
    </row>
    <row r="89" spans="5:5">
      <c r="E89" s="7"/>
    </row>
    <row r="90" spans="5:5">
      <c r="E90" s="7"/>
    </row>
    <row r="91" spans="5:5">
      <c r="E91" s="7"/>
    </row>
    <row r="92" spans="5:5">
      <c r="E92" s="7"/>
    </row>
    <row r="93" spans="5:5">
      <c r="E93" s="7"/>
    </row>
    <row r="94" spans="5:5">
      <c r="E94" s="7"/>
    </row>
    <row r="95" spans="5:5">
      <c r="E95" s="7"/>
    </row>
    <row r="96" spans="5:5">
      <c r="E96" s="7"/>
    </row>
    <row r="97" spans="5:5">
      <c r="E97" s="7"/>
    </row>
    <row r="98" spans="5:5">
      <c r="E98" s="7"/>
    </row>
    <row r="99" spans="5:5">
      <c r="E99" s="7"/>
    </row>
    <row r="100" spans="5:5">
      <c r="E100" s="7"/>
    </row>
    <row r="101" spans="5:5">
      <c r="E101" s="7"/>
    </row>
    <row r="102" spans="5:5">
      <c r="E102" s="7"/>
    </row>
    <row r="103" spans="5:5">
      <c r="E103" s="7"/>
    </row>
    <row r="104" spans="5:5">
      <c r="E104" s="7"/>
    </row>
    <row r="105" spans="5:5">
      <c r="E105" s="7"/>
    </row>
    <row r="106" spans="5:5">
      <c r="E106" s="7"/>
    </row>
    <row r="107" spans="5:5">
      <c r="E107" s="7"/>
    </row>
    <row r="108" spans="5:5">
      <c r="E108" s="7"/>
    </row>
    <row r="109" spans="5:5">
      <c r="E109" s="7"/>
    </row>
    <row r="110" spans="5:5">
      <c r="E110" s="7"/>
    </row>
    <row r="111" spans="5:5">
      <c r="E111" s="7"/>
    </row>
    <row r="112" spans="5:5">
      <c r="E112" s="7"/>
    </row>
    <row r="113" spans="5:5">
      <c r="E113" s="7"/>
    </row>
    <row r="114" spans="5:5">
      <c r="E114" s="7"/>
    </row>
    <row r="115" spans="5:5">
      <c r="E115" s="7"/>
    </row>
    <row r="116" spans="5:5">
      <c r="E116" s="7"/>
    </row>
    <row r="117" spans="5:5">
      <c r="E117" s="7"/>
    </row>
    <row r="118" spans="5:5">
      <c r="E118" s="7"/>
    </row>
    <row r="119" spans="5:5">
      <c r="E119" s="7"/>
    </row>
    <row r="120" spans="5:5">
      <c r="E120" s="7"/>
    </row>
    <row r="121" spans="5:5">
      <c r="E121" s="7"/>
    </row>
    <row r="122" spans="5:5">
      <c r="E122" s="7"/>
    </row>
    <row r="123" spans="5:5">
      <c r="E123" s="7"/>
    </row>
    <row r="124" spans="5:5">
      <c r="E124" s="7"/>
    </row>
    <row r="125" spans="5:5">
      <c r="E125" s="7"/>
    </row>
    <row r="126" spans="5:5">
      <c r="E126" s="7"/>
    </row>
    <row r="127" spans="5:5">
      <c r="E127" s="7"/>
    </row>
    <row r="128" spans="5:5">
      <c r="E128" s="7"/>
    </row>
    <row r="129" spans="5:5">
      <c r="E129" s="7"/>
    </row>
    <row r="130" spans="5:5">
      <c r="E130" s="7"/>
    </row>
    <row r="131" spans="5:5">
      <c r="E131" s="7"/>
    </row>
    <row r="132" spans="5:5">
      <c r="E132" s="7"/>
    </row>
    <row r="133" spans="5:5">
      <c r="E133" s="7"/>
    </row>
    <row r="134" spans="5:5">
      <c r="E134" s="7"/>
    </row>
    <row r="135" spans="5:5">
      <c r="E135" s="7"/>
    </row>
    <row r="136" spans="5:5">
      <c r="E136" s="7"/>
    </row>
    <row r="137" spans="5:5">
      <c r="E137" s="7"/>
    </row>
    <row r="138" spans="5:5">
      <c r="E138" s="7"/>
    </row>
    <row r="139" spans="5:5">
      <c r="E139" s="7"/>
    </row>
    <row r="140" spans="5:5">
      <c r="E140" s="7"/>
    </row>
    <row r="141" spans="5:5">
      <c r="E141" s="7"/>
    </row>
    <row r="142" spans="5:5">
      <c r="E142" s="7"/>
    </row>
    <row r="143" spans="5:5">
      <c r="E143" s="7"/>
    </row>
    <row r="144" spans="5:5">
      <c r="E144" s="7"/>
    </row>
    <row r="145" spans="5:5">
      <c r="E145" s="7"/>
    </row>
    <row r="146" spans="5:5">
      <c r="E146" s="7"/>
    </row>
    <row r="147" spans="5:5">
      <c r="E147" s="7"/>
    </row>
    <row r="148" spans="5:5">
      <c r="E148" s="7"/>
    </row>
    <row r="149" spans="5:5">
      <c r="E149" s="7"/>
    </row>
    <row r="150" spans="5:5">
      <c r="E150" s="7"/>
    </row>
    <row r="151" spans="5:5">
      <c r="E151" s="7"/>
    </row>
    <row r="152" spans="5:5">
      <c r="E152" s="7"/>
    </row>
    <row r="153" spans="5:5">
      <c r="E153" s="7"/>
    </row>
    <row r="154" spans="5:5">
      <c r="E154" s="7"/>
    </row>
    <row r="155" spans="5:5">
      <c r="E155" s="7"/>
    </row>
    <row r="156" spans="5:5">
      <c r="E156" s="7"/>
    </row>
    <row r="157" spans="5:5">
      <c r="E157" s="7"/>
    </row>
    <row r="158" spans="5:5">
      <c r="E158" s="7"/>
    </row>
    <row r="159" spans="5:5">
      <c r="E159" s="7"/>
    </row>
    <row r="160" spans="5:5">
      <c r="E160" s="7"/>
    </row>
    <row r="161" spans="5:5">
      <c r="E161" s="7"/>
    </row>
    <row r="162" spans="5:5">
      <c r="E162" s="7"/>
    </row>
    <row r="163" spans="5:5">
      <c r="E163" s="7"/>
    </row>
    <row r="164" spans="5:5">
      <c r="E164" s="7"/>
    </row>
    <row r="165" spans="5:5">
      <c r="E165" s="7"/>
    </row>
    <row r="166" spans="5:5">
      <c r="E166" s="7"/>
    </row>
    <row r="167" spans="5:5">
      <c r="E167" s="7"/>
    </row>
    <row r="168" spans="5:5">
      <c r="E168" s="7"/>
    </row>
    <row r="169" spans="5:5">
      <c r="E169" s="7"/>
    </row>
    <row r="170" spans="5:5">
      <c r="E170" s="7"/>
    </row>
    <row r="171" spans="5:5">
      <c r="E171" s="7"/>
    </row>
    <row r="172" spans="5:5">
      <c r="E172" s="7"/>
    </row>
    <row r="173" spans="5:5">
      <c r="E173" s="7"/>
    </row>
    <row r="174" spans="5:5">
      <c r="E174" s="7"/>
    </row>
    <row r="175" spans="5:5">
      <c r="E175" s="7"/>
    </row>
    <row r="176" spans="5:5">
      <c r="E176" s="7"/>
    </row>
    <row r="177" spans="5:5">
      <c r="E177" s="7"/>
    </row>
    <row r="178" spans="5:5">
      <c r="E178" s="7"/>
    </row>
    <row r="179" spans="5:5">
      <c r="E179" s="7"/>
    </row>
    <row r="180" spans="5:5">
      <c r="E180" s="7"/>
    </row>
    <row r="181" spans="5:5">
      <c r="E181" s="7"/>
    </row>
    <row r="182" spans="5:5">
      <c r="E182" s="7"/>
    </row>
    <row r="183" spans="5:5">
      <c r="E183" s="7"/>
    </row>
    <row r="184" spans="5:5">
      <c r="E184" s="7"/>
    </row>
    <row r="185" spans="5:5">
      <c r="E185" s="7"/>
    </row>
    <row r="186" spans="5:5">
      <c r="E186" s="7"/>
    </row>
    <row r="187" spans="5:5">
      <c r="E187" s="7"/>
    </row>
    <row r="188" spans="5:5">
      <c r="E188" s="7"/>
    </row>
    <row r="189" spans="5:5">
      <c r="E189" s="7"/>
    </row>
    <row r="190" spans="5:5">
      <c r="E190" s="7"/>
    </row>
    <row r="191" spans="5:5">
      <c r="E191" s="7"/>
    </row>
    <row r="192" spans="5:5">
      <c r="E192" s="7"/>
    </row>
    <row r="193" spans="5:5">
      <c r="E193" s="7"/>
    </row>
    <row r="194" spans="5:5">
      <c r="E194" s="7"/>
    </row>
    <row r="195" spans="5:5">
      <c r="E195" s="7"/>
    </row>
    <row r="196" spans="5:5">
      <c r="E196" s="7"/>
    </row>
    <row r="197" spans="5:5">
      <c r="E197" s="7"/>
    </row>
    <row r="198" spans="5:5">
      <c r="E198" s="7"/>
    </row>
    <row r="199" spans="5:5">
      <c r="E199" s="7"/>
    </row>
    <row r="200" spans="5:5">
      <c r="E200" s="7"/>
    </row>
    <row r="201" spans="5:5">
      <c r="E201" s="7"/>
    </row>
    <row r="202" spans="5:5">
      <c r="E202" s="7"/>
    </row>
    <row r="203" spans="5:5">
      <c r="E203" s="7"/>
    </row>
    <row r="204" spans="5:5">
      <c r="E204" s="7"/>
    </row>
    <row r="205" spans="5:5">
      <c r="E205" s="7"/>
    </row>
    <row r="206" spans="5:5">
      <c r="E206" s="7"/>
    </row>
    <row r="207" spans="5:5">
      <c r="E207" s="7"/>
    </row>
    <row r="208" spans="5:5">
      <c r="E208" s="7"/>
    </row>
    <row r="209" spans="5:5">
      <c r="E209" s="7"/>
    </row>
    <row r="210" spans="5:5">
      <c r="E210" s="7"/>
    </row>
    <row r="211" spans="5:5">
      <c r="E211" s="7"/>
    </row>
    <row r="212" spans="5:5">
      <c r="E212" s="7"/>
    </row>
    <row r="213" spans="5:5">
      <c r="E213" s="7"/>
    </row>
    <row r="214" spans="5:5">
      <c r="E214" s="7"/>
    </row>
    <row r="215" spans="5:5">
      <c r="E215" s="7"/>
    </row>
    <row r="216" spans="5:5">
      <c r="E216" s="7"/>
    </row>
    <row r="217" spans="5:5">
      <c r="E217" s="7"/>
    </row>
    <row r="218" spans="5:5">
      <c r="E218" s="7"/>
    </row>
    <row r="219" spans="5:5">
      <c r="E219" s="7"/>
    </row>
    <row r="220" spans="5:5">
      <c r="E220" s="7"/>
    </row>
    <row r="221" spans="5:5">
      <c r="E221" s="7"/>
    </row>
    <row r="222" spans="5:5">
      <c r="E222" s="7"/>
    </row>
    <row r="223" spans="5:5">
      <c r="E223" s="7"/>
    </row>
    <row r="224" spans="5:5">
      <c r="E224" s="7"/>
    </row>
    <row r="225" spans="5:5">
      <c r="E225" s="7"/>
    </row>
    <row r="226" spans="5:5">
      <c r="E226" s="7"/>
    </row>
    <row r="227" spans="5:5">
      <c r="E227" s="7"/>
    </row>
    <row r="228" spans="5:5">
      <c r="E228" s="7"/>
    </row>
    <row r="229" spans="5:5">
      <c r="E229" s="7"/>
    </row>
    <row r="230" spans="5:5">
      <c r="E230" s="7"/>
    </row>
    <row r="231" spans="5:5">
      <c r="E231" s="7"/>
    </row>
    <row r="232" spans="5:5">
      <c r="E232" s="7"/>
    </row>
    <row r="233" spans="5:5">
      <c r="E233" s="7"/>
    </row>
    <row r="234" spans="5:5">
      <c r="E234" s="7"/>
    </row>
    <row r="235" spans="5:5">
      <c r="E235" s="7"/>
    </row>
    <row r="236" spans="5:5">
      <c r="E236" s="7"/>
    </row>
    <row r="237" spans="5:5">
      <c r="E237" s="7"/>
    </row>
    <row r="238" spans="5:5">
      <c r="E238" s="7"/>
    </row>
    <row r="239" spans="5:5">
      <c r="E239" s="7"/>
    </row>
    <row r="240" spans="5:5">
      <c r="E240" s="7"/>
    </row>
    <row r="241" spans="5:5">
      <c r="E241" s="7"/>
    </row>
    <row r="242" spans="5:5">
      <c r="E242" s="7"/>
    </row>
    <row r="243" spans="5:5">
      <c r="E243" s="7"/>
    </row>
    <row r="244" spans="5:5">
      <c r="E244" s="7"/>
    </row>
    <row r="245" spans="5:5">
      <c r="E245" s="7"/>
    </row>
    <row r="246" spans="5:5">
      <c r="E246" s="7"/>
    </row>
    <row r="247" spans="5:5">
      <c r="E247" s="7"/>
    </row>
    <row r="248" spans="5:5">
      <c r="E248" s="7"/>
    </row>
    <row r="249" spans="5:5">
      <c r="E249" s="7"/>
    </row>
    <row r="250" spans="5:5">
      <c r="E250" s="7"/>
    </row>
    <row r="251" spans="5:5">
      <c r="E251" s="7"/>
    </row>
    <row r="252" spans="5:5">
      <c r="E252" s="7"/>
    </row>
    <row r="253" spans="5:5">
      <c r="E253" s="7"/>
    </row>
    <row r="254" spans="5:5">
      <c r="E254" s="7"/>
    </row>
    <row r="255" spans="5:5">
      <c r="E255" s="7"/>
    </row>
    <row r="256" spans="5:5">
      <c r="E256" s="7"/>
    </row>
    <row r="257" spans="5:5">
      <c r="E257" s="7"/>
    </row>
    <row r="258" spans="5:5">
      <c r="E258" s="7"/>
    </row>
    <row r="259" spans="5:5">
      <c r="E259" s="7"/>
    </row>
    <row r="260" spans="5:5">
      <c r="E260" s="7"/>
    </row>
    <row r="261" spans="5:5">
      <c r="E261" s="7"/>
    </row>
    <row r="262" spans="5:5">
      <c r="E262" s="7"/>
    </row>
    <row r="263" spans="5:5">
      <c r="E263" s="7"/>
    </row>
    <row r="264" spans="5:5">
      <c r="E264" s="7"/>
    </row>
    <row r="265" spans="5:5">
      <c r="E265" s="7"/>
    </row>
    <row r="266" spans="5:5">
      <c r="E266" s="7"/>
    </row>
    <row r="267" spans="5:5">
      <c r="E267" s="7"/>
    </row>
    <row r="268" spans="5:5">
      <c r="E268" s="7"/>
    </row>
    <row r="269" spans="5:5">
      <c r="E269" s="7"/>
    </row>
    <row r="270" spans="5:5">
      <c r="E270" s="7"/>
    </row>
    <row r="271" spans="5:5">
      <c r="E271" s="7"/>
    </row>
    <row r="272" spans="5:5">
      <c r="E272" s="7"/>
    </row>
    <row r="273" spans="5:5">
      <c r="E273" s="7"/>
    </row>
    <row r="274" spans="5:5">
      <c r="E274" s="7"/>
    </row>
    <row r="275" spans="5:5">
      <c r="E275" s="7"/>
    </row>
    <row r="276" spans="5:5">
      <c r="E276" s="7"/>
    </row>
    <row r="277" spans="5:5">
      <c r="E277" s="7"/>
    </row>
    <row r="278" spans="5:5">
      <c r="E278" s="7"/>
    </row>
    <row r="279" spans="5:5">
      <c r="E279" s="7"/>
    </row>
    <row r="280" spans="5:5">
      <c r="E280" s="7"/>
    </row>
    <row r="281" spans="5:5">
      <c r="E281" s="7"/>
    </row>
    <row r="282" spans="5:5">
      <c r="E282" s="7"/>
    </row>
    <row r="283" spans="5:5">
      <c r="E283" s="7"/>
    </row>
    <row r="284" spans="5:5">
      <c r="E284" s="7"/>
    </row>
    <row r="285" spans="5:5">
      <c r="E285" s="7"/>
    </row>
    <row r="286" spans="5:5">
      <c r="E286" s="7"/>
    </row>
    <row r="287" spans="5:5">
      <c r="E287" s="7"/>
    </row>
    <row r="288" spans="5:5">
      <c r="E288" s="7"/>
    </row>
    <row r="289" spans="5:5">
      <c r="E289" s="7"/>
    </row>
    <row r="290" spans="5:5">
      <c r="E290" s="7"/>
    </row>
    <row r="291" spans="5:5">
      <c r="E291" s="7"/>
    </row>
    <row r="292" spans="5:5">
      <c r="E292" s="7"/>
    </row>
    <row r="293" spans="5:5">
      <c r="E293" s="7"/>
    </row>
    <row r="294" spans="5:5">
      <c r="E294" s="7"/>
    </row>
    <row r="295" spans="5:5">
      <c r="E295" s="7"/>
    </row>
    <row r="296" spans="5:5">
      <c r="E296" s="7"/>
    </row>
    <row r="297" spans="5:5">
      <c r="E297" s="7"/>
    </row>
    <row r="298" spans="5:5">
      <c r="E298" s="7"/>
    </row>
    <row r="299" spans="5:5">
      <c r="E299" s="7"/>
    </row>
    <row r="300" spans="5:5">
      <c r="E300" s="7"/>
    </row>
    <row r="301" spans="5:5">
      <c r="E301" s="7"/>
    </row>
    <row r="302" spans="5:5">
      <c r="E302" s="7"/>
    </row>
    <row r="303" spans="5:5">
      <c r="E303" s="7"/>
    </row>
    <row r="304" spans="5:5">
      <c r="E304" s="7"/>
    </row>
    <row r="305" spans="5:5">
      <c r="E305" s="7"/>
    </row>
    <row r="306" spans="5:5">
      <c r="E306" s="7"/>
    </row>
    <row r="307" spans="5:5">
      <c r="E307" s="7"/>
    </row>
    <row r="308" spans="5:5">
      <c r="E308" s="7"/>
    </row>
    <row r="309" spans="5:5">
      <c r="E309" s="7"/>
    </row>
    <row r="310" spans="5:5">
      <c r="E310" s="7"/>
    </row>
    <row r="311" spans="5:5">
      <c r="E311" s="7"/>
    </row>
    <row r="312" spans="5:5">
      <c r="E312" s="7"/>
    </row>
    <row r="313" spans="5:5">
      <c r="E313" s="7"/>
    </row>
    <row r="314" spans="5:5">
      <c r="E314" s="7"/>
    </row>
    <row r="315" spans="5:5">
      <c r="E315" s="7"/>
    </row>
    <row r="316" spans="5:5">
      <c r="E316" s="7"/>
    </row>
    <row r="317" spans="5:5">
      <c r="E317" s="7"/>
    </row>
    <row r="318" spans="5:5">
      <c r="E318" s="7"/>
    </row>
    <row r="319" spans="5:5">
      <c r="E319" s="7"/>
    </row>
    <row r="320" spans="5:5">
      <c r="E320" s="7"/>
    </row>
    <row r="321" spans="5:5">
      <c r="E321" s="7"/>
    </row>
    <row r="322" spans="5:5">
      <c r="E322" s="7"/>
    </row>
    <row r="323" spans="5:5">
      <c r="E323" s="7"/>
    </row>
    <row r="324" spans="5:5">
      <c r="E324" s="7"/>
    </row>
    <row r="325" spans="5:5">
      <c r="E325" s="7"/>
    </row>
    <row r="326" spans="5:5">
      <c r="E326" s="7"/>
    </row>
    <row r="327" spans="5:5">
      <c r="E327" s="7"/>
    </row>
    <row r="328" spans="5:5">
      <c r="E328" s="7"/>
    </row>
    <row r="329" spans="5:5">
      <c r="E329" s="7"/>
    </row>
    <row r="330" spans="5:5">
      <c r="E330" s="7"/>
    </row>
    <row r="331" spans="5:5">
      <c r="E331" s="7"/>
    </row>
    <row r="332" spans="5:5">
      <c r="E332" s="7"/>
    </row>
    <row r="333" spans="5:5">
      <c r="E333" s="7"/>
    </row>
    <row r="334" spans="5:5">
      <c r="E334" s="7"/>
    </row>
    <row r="335" spans="5:5">
      <c r="E335" s="7"/>
    </row>
    <row r="336" spans="5:5">
      <c r="E336" s="7"/>
    </row>
    <row r="337" spans="5:5">
      <c r="E337" s="7"/>
    </row>
    <row r="338" spans="5:5">
      <c r="E338" s="7"/>
    </row>
    <row r="339" spans="5:5">
      <c r="E339" s="7"/>
    </row>
    <row r="340" spans="5:5">
      <c r="E340" s="7"/>
    </row>
    <row r="341" spans="5:5">
      <c r="E341" s="7"/>
    </row>
    <row r="342" spans="5:5">
      <c r="E342" s="7"/>
    </row>
    <row r="343" spans="5:5">
      <c r="E343" s="7"/>
    </row>
    <row r="344" spans="5:5">
      <c r="E344" s="7"/>
    </row>
    <row r="345" spans="5:5">
      <c r="E345" s="7"/>
    </row>
    <row r="346" spans="5:5">
      <c r="E346" s="7"/>
    </row>
    <row r="347" spans="5:5">
      <c r="E347" s="7"/>
    </row>
    <row r="348" spans="5:5">
      <c r="E348" s="7"/>
    </row>
    <row r="349" spans="5:5">
      <c r="E349" s="7"/>
    </row>
    <row r="350" spans="5:5">
      <c r="E350" s="7"/>
    </row>
    <row r="351" spans="5:5">
      <c r="E351" s="7"/>
    </row>
    <row r="352" spans="5:5">
      <c r="E352" s="7"/>
    </row>
    <row r="353" spans="5:5">
      <c r="E353" s="7"/>
    </row>
    <row r="354" spans="5:5">
      <c r="E354" s="7"/>
    </row>
    <row r="355" spans="5:5">
      <c r="E355" s="7"/>
    </row>
    <row r="356" spans="5:5">
      <c r="E356" s="7"/>
    </row>
    <row r="357" spans="5:5">
      <c r="E357" s="7"/>
    </row>
    <row r="358" spans="5:5">
      <c r="E358" s="7"/>
    </row>
    <row r="359" spans="5:5">
      <c r="E359" s="7"/>
    </row>
    <row r="360" spans="5:5">
      <c r="E360" s="7"/>
    </row>
    <row r="361" spans="5:5">
      <c r="E361" s="7"/>
    </row>
    <row r="362" spans="5:5">
      <c r="E362" s="7"/>
    </row>
    <row r="363" spans="5:5">
      <c r="E363" s="7"/>
    </row>
    <row r="364" spans="5:5">
      <c r="E364" s="7"/>
    </row>
    <row r="365" spans="5:5">
      <c r="E365" s="7"/>
    </row>
    <row r="366" spans="5:5">
      <c r="E366" s="7"/>
    </row>
    <row r="367" spans="5:5">
      <c r="E367" s="7"/>
    </row>
    <row r="368" spans="5:5">
      <c r="E368" s="7"/>
    </row>
    <row r="369" spans="5:5">
      <c r="E369" s="7"/>
    </row>
    <row r="370" spans="5:5">
      <c r="E370" s="7"/>
    </row>
    <row r="371" spans="5:5">
      <c r="E371" s="7"/>
    </row>
    <row r="372" spans="5:5">
      <c r="E372" s="7"/>
    </row>
    <row r="373" spans="5:5">
      <c r="E373" s="7"/>
    </row>
    <row r="374" spans="5:5">
      <c r="E374" s="7"/>
    </row>
    <row r="375" spans="5:5">
      <c r="E375" s="7"/>
    </row>
    <row r="376" spans="5:5">
      <c r="E376" s="7"/>
    </row>
    <row r="377" spans="5:5">
      <c r="E377" s="7"/>
    </row>
    <row r="378" spans="5:5">
      <c r="E378" s="7"/>
    </row>
    <row r="379" spans="5:5">
      <c r="E379" s="7"/>
    </row>
    <row r="380" spans="5:5">
      <c r="E380" s="7"/>
    </row>
    <row r="381" spans="5:5">
      <c r="E381" s="7"/>
    </row>
    <row r="382" spans="5:5">
      <c r="E382" s="7"/>
    </row>
    <row r="383" spans="5:5">
      <c r="E383" s="7"/>
    </row>
    <row r="384" spans="5:5">
      <c r="E384" s="7"/>
    </row>
    <row r="385" spans="5:5">
      <c r="E385" s="7"/>
    </row>
    <row r="386" spans="5:5">
      <c r="E386" s="7"/>
    </row>
    <row r="387" spans="5:5">
      <c r="E387" s="7"/>
    </row>
    <row r="388" spans="5:5">
      <c r="E388" s="7"/>
    </row>
    <row r="389" spans="5:5">
      <c r="E389" s="7"/>
    </row>
    <row r="390" spans="5:5">
      <c r="E390" s="7"/>
    </row>
    <row r="391" spans="5:5">
      <c r="E391" s="7"/>
    </row>
    <row r="392" spans="5:5">
      <c r="E392" s="7"/>
    </row>
    <row r="393" spans="5:5">
      <c r="E393" s="7"/>
    </row>
    <row r="394" spans="5:5">
      <c r="E394" s="7"/>
    </row>
    <row r="395" spans="5:5">
      <c r="E395" s="7"/>
    </row>
    <row r="396" spans="5:5">
      <c r="E396" s="7"/>
    </row>
    <row r="397" spans="5:5">
      <c r="E397" s="7"/>
    </row>
    <row r="398" spans="5:5">
      <c r="E398" s="7"/>
    </row>
    <row r="399" spans="5:5">
      <c r="E399" s="7"/>
    </row>
    <row r="400" spans="5:5">
      <c r="E400" s="7"/>
    </row>
    <row r="401" spans="3:6">
      <c r="E401" s="7"/>
    </row>
    <row r="402" spans="3:6">
      <c r="E402" s="7"/>
    </row>
    <row r="403" spans="3:6">
      <c r="E403" s="7"/>
    </row>
    <row r="404" spans="3:6">
      <c r="E404" s="7"/>
    </row>
    <row r="405" spans="3:6">
      <c r="E405" s="7"/>
    </row>
    <row r="406" spans="3:6">
      <c r="F406" s="91"/>
    </row>
    <row r="408" spans="3:6">
      <c r="E408" s="7"/>
      <c r="F408" s="92"/>
    </row>
    <row r="409" spans="3:6">
      <c r="C409" s="96"/>
    </row>
    <row r="414" spans="3:6">
      <c r="F414" s="91"/>
    </row>
    <row r="415" spans="3:6">
      <c r="F415" s="91"/>
    </row>
    <row r="416" spans="3:6">
      <c r="F416" s="91"/>
    </row>
    <row r="417" spans="5:6">
      <c r="F417" s="91"/>
    </row>
    <row r="421" spans="5:6">
      <c r="E421" s="7"/>
    </row>
    <row r="422" spans="5:6">
      <c r="E422" s="7"/>
    </row>
    <row r="423" spans="5:6">
      <c r="F423" s="9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/>
  <dimension ref="A1:L1001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ColWidth="11.3828125" defaultRowHeight="12"/>
  <cols>
    <col min="1" max="1" width="19.3046875" style="52" bestFit="1" customWidth="1"/>
    <col min="2" max="2" width="20.3046875" style="53" bestFit="1" customWidth="1"/>
    <col min="3" max="4" width="14.3828125" style="52" bestFit="1" customWidth="1"/>
    <col min="5" max="5" width="12.3828125" style="54" bestFit="1" customWidth="1"/>
    <col min="6" max="6" width="14.3828125" style="54" bestFit="1" customWidth="1"/>
    <col min="7" max="7" width="14.53515625" style="55" bestFit="1" customWidth="1"/>
    <col min="8" max="8" width="8.3828125" style="51" bestFit="1" customWidth="1"/>
    <col min="9" max="16384" width="11.3828125" style="51"/>
  </cols>
  <sheetData>
    <row r="1" spans="1:12">
      <c r="A1" s="47" t="s">
        <v>86</v>
      </c>
      <c r="B1" s="48" t="s">
        <v>87</v>
      </c>
      <c r="C1" s="47" t="s">
        <v>88</v>
      </c>
      <c r="D1" s="47" t="s">
        <v>89</v>
      </c>
      <c r="E1" s="49" t="s">
        <v>90</v>
      </c>
      <c r="F1" s="49" t="s">
        <v>91</v>
      </c>
      <c r="G1" s="50" t="s">
        <v>92</v>
      </c>
      <c r="H1" s="47" t="s">
        <v>99</v>
      </c>
    </row>
    <row r="2" spans="1:12">
      <c r="H2" s="58"/>
    </row>
    <row r="3" spans="1:12">
      <c r="H3" s="58"/>
    </row>
    <row r="4" spans="1:12">
      <c r="H4" s="58"/>
    </row>
    <row r="5" spans="1:12">
      <c r="H5" s="58"/>
    </row>
    <row r="6" spans="1:12">
      <c r="H6" s="58"/>
    </row>
    <row r="7" spans="1:12">
      <c r="H7" s="58"/>
    </row>
    <row r="8" spans="1:12">
      <c r="H8" s="58"/>
    </row>
    <row r="9" spans="1:12">
      <c r="H9" s="58"/>
    </row>
    <row r="10" spans="1:12">
      <c r="H10" s="58"/>
    </row>
    <row r="11" spans="1:12">
      <c r="H11" s="58"/>
    </row>
    <row r="12" spans="1:12">
      <c r="H12" s="58"/>
    </row>
    <row r="13" spans="1:12">
      <c r="H13" s="58"/>
      <c r="J13" s="103"/>
      <c r="K13" s="103"/>
      <c r="L13" s="103"/>
    </row>
    <row r="14" spans="1:12">
      <c r="H14" s="58"/>
    </row>
    <row r="15" spans="1:12">
      <c r="H15" s="58"/>
    </row>
    <row r="16" spans="1:12">
      <c r="H16" s="58"/>
    </row>
    <row r="17" spans="4:8">
      <c r="D17" s="57"/>
      <c r="H17" s="58"/>
    </row>
    <row r="18" spans="4:8">
      <c r="H18" s="58"/>
    </row>
    <row r="19" spans="4:8">
      <c r="H19" s="58"/>
    </row>
    <row r="20" spans="4:8">
      <c r="H20" s="58"/>
    </row>
    <row r="21" spans="4:8">
      <c r="H21" s="58"/>
    </row>
    <row r="22" spans="4:8">
      <c r="H22" s="58"/>
    </row>
    <row r="23" spans="4:8">
      <c r="H23" s="58"/>
    </row>
    <row r="24" spans="4:8">
      <c r="H24" s="58"/>
    </row>
    <row r="25" spans="4:8">
      <c r="H25" s="58"/>
    </row>
    <row r="26" spans="4:8">
      <c r="H26" s="58"/>
    </row>
    <row r="27" spans="4:8">
      <c r="H27" s="58"/>
    </row>
    <row r="28" spans="4:8">
      <c r="H28" s="58"/>
    </row>
    <row r="29" spans="4:8">
      <c r="H29" s="58"/>
    </row>
    <row r="30" spans="4:8">
      <c r="D30" s="56"/>
      <c r="H30" s="58"/>
    </row>
    <row r="31" spans="4:8">
      <c r="D31" s="56"/>
      <c r="H31" s="58"/>
    </row>
    <row r="32" spans="4:8">
      <c r="D32" s="56"/>
      <c r="H32" s="58"/>
    </row>
    <row r="33" spans="4:8">
      <c r="D33" s="56"/>
      <c r="H33" s="58"/>
    </row>
    <row r="34" spans="4:8">
      <c r="D34" s="56"/>
      <c r="H34" s="58"/>
    </row>
    <row r="35" spans="4:8">
      <c r="D35" s="56"/>
      <c r="H35" s="58"/>
    </row>
    <row r="36" spans="4:8">
      <c r="D36" s="56"/>
      <c r="H36" s="58"/>
    </row>
    <row r="37" spans="4:8">
      <c r="D37" s="56"/>
      <c r="H37" s="58"/>
    </row>
    <row r="38" spans="4:8">
      <c r="D38" s="56"/>
      <c r="H38" s="58"/>
    </row>
    <row r="39" spans="4:8">
      <c r="D39" s="56"/>
      <c r="H39" s="58"/>
    </row>
    <row r="40" spans="4:8">
      <c r="D40" s="56"/>
      <c r="H40" s="58"/>
    </row>
    <row r="41" spans="4:8">
      <c r="D41" s="56"/>
      <c r="H41" s="58"/>
    </row>
    <row r="42" spans="4:8">
      <c r="D42" s="56"/>
      <c r="H42" s="58"/>
    </row>
    <row r="43" spans="4:8">
      <c r="D43" s="56"/>
      <c r="H43" s="58"/>
    </row>
    <row r="44" spans="4:8">
      <c r="D44" s="56"/>
      <c r="H44" s="58"/>
    </row>
    <row r="45" spans="4:8">
      <c r="D45" s="56"/>
      <c r="H45" s="58"/>
    </row>
    <row r="46" spans="4:8">
      <c r="D46" s="56"/>
      <c r="H46" s="58"/>
    </row>
    <row r="47" spans="4:8">
      <c r="D47" s="56"/>
      <c r="H47" s="58"/>
    </row>
    <row r="48" spans="4:8">
      <c r="D48" s="56"/>
      <c r="H48" s="58"/>
    </row>
    <row r="49" spans="4:8">
      <c r="D49" s="56"/>
      <c r="H49" s="58"/>
    </row>
    <row r="50" spans="4:8">
      <c r="D50" s="56"/>
      <c r="H50" s="58"/>
    </row>
    <row r="51" spans="4:8">
      <c r="D51" s="56"/>
      <c r="H51" s="58"/>
    </row>
    <row r="52" spans="4:8">
      <c r="D52" s="56"/>
      <c r="H52" s="58"/>
    </row>
    <row r="53" spans="4:8">
      <c r="D53" s="56"/>
      <c r="H53" s="58"/>
    </row>
    <row r="54" spans="4:8">
      <c r="D54" s="56"/>
      <c r="H54" s="58"/>
    </row>
    <row r="55" spans="4:8">
      <c r="D55" s="56"/>
      <c r="H55" s="58"/>
    </row>
    <row r="56" spans="4:8">
      <c r="D56" s="56"/>
      <c r="H56" s="58"/>
    </row>
    <row r="57" spans="4:8">
      <c r="D57" s="56"/>
      <c r="H57" s="58"/>
    </row>
    <row r="58" spans="4:8">
      <c r="D58" s="56"/>
      <c r="H58" s="58"/>
    </row>
    <row r="59" spans="4:8">
      <c r="D59" s="56"/>
      <c r="H59" s="58"/>
    </row>
    <row r="60" spans="4:8">
      <c r="D60" s="56"/>
      <c r="H60" s="58"/>
    </row>
    <row r="61" spans="4:8">
      <c r="D61" s="56"/>
      <c r="H61" s="58"/>
    </row>
    <row r="62" spans="4:8">
      <c r="D62" s="56"/>
      <c r="H62" s="58"/>
    </row>
    <row r="63" spans="4:8">
      <c r="D63" s="56"/>
      <c r="H63" s="58"/>
    </row>
    <row r="64" spans="4:8">
      <c r="D64" s="56"/>
      <c r="H64" s="58"/>
    </row>
    <row r="65" spans="4:8">
      <c r="D65" s="56"/>
      <c r="H65" s="58"/>
    </row>
    <row r="66" spans="4:8">
      <c r="D66" s="56"/>
      <c r="H66" s="58"/>
    </row>
    <row r="67" spans="4:8">
      <c r="D67" s="56"/>
      <c r="H67" s="58"/>
    </row>
    <row r="68" spans="4:8">
      <c r="D68" s="56"/>
      <c r="H68" s="58"/>
    </row>
    <row r="69" spans="4:8">
      <c r="D69" s="56"/>
      <c r="H69" s="58"/>
    </row>
    <row r="70" spans="4:8">
      <c r="D70" s="56"/>
      <c r="H70" s="58"/>
    </row>
    <row r="71" spans="4:8">
      <c r="D71" s="56"/>
      <c r="H71" s="58"/>
    </row>
    <row r="72" spans="4:8">
      <c r="D72" s="56"/>
      <c r="H72" s="58"/>
    </row>
    <row r="73" spans="4:8">
      <c r="D73" s="56"/>
      <c r="H73" s="58"/>
    </row>
    <row r="74" spans="4:8">
      <c r="D74" s="56"/>
      <c r="H74" s="58"/>
    </row>
    <row r="75" spans="4:8">
      <c r="D75" s="56"/>
      <c r="H75" s="58"/>
    </row>
    <row r="76" spans="4:8">
      <c r="D76" s="56"/>
      <c r="H76" s="58"/>
    </row>
    <row r="77" spans="4:8">
      <c r="D77" s="56"/>
      <c r="H77" s="58"/>
    </row>
    <row r="78" spans="4:8">
      <c r="D78" s="56"/>
      <c r="H78" s="58"/>
    </row>
    <row r="79" spans="4:8">
      <c r="D79" s="56"/>
      <c r="H79" s="58"/>
    </row>
    <row r="80" spans="4:8">
      <c r="D80" s="56"/>
      <c r="E80" s="97"/>
      <c r="F80" s="97"/>
      <c r="H80" s="58"/>
    </row>
    <row r="81" spans="4:9">
      <c r="D81" s="56"/>
      <c r="E81" s="97"/>
      <c r="F81" s="97"/>
      <c r="H81" s="58"/>
    </row>
    <row r="82" spans="4:9">
      <c r="D82" s="56"/>
      <c r="E82" s="97"/>
      <c r="F82" s="97"/>
      <c r="H82" s="58"/>
    </row>
    <row r="83" spans="4:9">
      <c r="D83" s="56"/>
      <c r="E83" s="97"/>
      <c r="F83" s="97"/>
      <c r="H83" s="58"/>
    </row>
    <row r="84" spans="4:9">
      <c r="D84" s="56"/>
      <c r="E84" s="97"/>
      <c r="F84" s="97"/>
      <c r="H84" s="58"/>
    </row>
    <row r="85" spans="4:9">
      <c r="D85" s="56"/>
      <c r="E85" s="97"/>
      <c r="F85" s="97"/>
      <c r="H85" s="58"/>
    </row>
    <row r="86" spans="4:9">
      <c r="D86" s="56"/>
      <c r="E86" s="97"/>
      <c r="F86" s="97"/>
      <c r="H86" s="58"/>
    </row>
    <row r="87" spans="4:9">
      <c r="D87" s="56"/>
      <c r="E87" s="97"/>
      <c r="F87" s="97"/>
      <c r="H87" s="58"/>
    </row>
    <row r="88" spans="4:9">
      <c r="D88" s="56"/>
      <c r="E88" s="97"/>
      <c r="F88" s="97"/>
      <c r="H88" s="58"/>
    </row>
    <row r="89" spans="4:9">
      <c r="D89" s="56"/>
      <c r="E89" s="97"/>
      <c r="F89" s="97"/>
      <c r="H89" s="58"/>
    </row>
    <row r="90" spans="4:9">
      <c r="D90" s="56"/>
      <c r="E90" s="97"/>
      <c r="F90" s="97"/>
      <c r="H90" s="58"/>
      <c r="I90" s="99"/>
    </row>
    <row r="91" spans="4:9">
      <c r="D91" s="56"/>
      <c r="E91" s="97"/>
      <c r="F91" s="97"/>
      <c r="H91" s="58"/>
      <c r="I91" s="99"/>
    </row>
    <row r="92" spans="4:9">
      <c r="D92" s="56"/>
      <c r="E92" s="97"/>
      <c r="F92" s="97"/>
      <c r="H92" s="58"/>
    </row>
    <row r="93" spans="4:9">
      <c r="D93" s="56"/>
      <c r="E93" s="97"/>
      <c r="F93" s="97"/>
      <c r="H93" s="58"/>
    </row>
    <row r="94" spans="4:9">
      <c r="D94" s="56"/>
      <c r="E94" s="97"/>
      <c r="F94" s="97"/>
      <c r="H94" s="58"/>
      <c r="I94" s="99"/>
    </row>
    <row r="95" spans="4:9">
      <c r="D95" s="56"/>
      <c r="E95" s="97"/>
      <c r="F95" s="97"/>
      <c r="H95" s="58"/>
      <c r="I95" s="99"/>
    </row>
    <row r="96" spans="4:9">
      <c r="D96" s="56"/>
      <c r="E96" s="97"/>
      <c r="F96" s="97"/>
      <c r="H96" s="58"/>
    </row>
    <row r="97" spans="4:8">
      <c r="D97" s="56"/>
      <c r="E97" s="97"/>
      <c r="F97" s="97"/>
      <c r="H97" s="58"/>
    </row>
    <row r="98" spans="4:8">
      <c r="D98" s="56"/>
      <c r="E98" s="97"/>
      <c r="F98" s="97"/>
      <c r="H98" s="58"/>
    </row>
    <row r="99" spans="4:8">
      <c r="D99" s="56"/>
      <c r="E99" s="97"/>
      <c r="F99" s="97"/>
      <c r="H99" s="58"/>
    </row>
    <row r="100" spans="4:8">
      <c r="D100" s="56"/>
      <c r="E100" s="97"/>
      <c r="F100" s="97"/>
      <c r="H100" s="58"/>
    </row>
    <row r="101" spans="4:8">
      <c r="D101" s="56"/>
      <c r="E101" s="97"/>
      <c r="F101" s="97"/>
      <c r="H101" s="58"/>
    </row>
    <row r="102" spans="4:8">
      <c r="D102" s="56"/>
      <c r="E102" s="97"/>
      <c r="F102" s="97"/>
      <c r="H102" s="58"/>
    </row>
    <row r="103" spans="4:8">
      <c r="D103" s="56"/>
      <c r="E103" s="97"/>
      <c r="F103" s="97"/>
      <c r="H103" s="58"/>
    </row>
    <row r="104" spans="4:8">
      <c r="D104" s="56"/>
      <c r="E104" s="97"/>
      <c r="F104" s="97"/>
      <c r="H104" s="58"/>
    </row>
    <row r="105" spans="4:8">
      <c r="D105" s="56"/>
      <c r="E105" s="97"/>
      <c r="F105" s="97"/>
      <c r="H105" s="58"/>
    </row>
    <row r="106" spans="4:8">
      <c r="D106" s="56"/>
      <c r="E106" s="97"/>
      <c r="F106" s="97"/>
      <c r="H106" s="58"/>
    </row>
    <row r="107" spans="4:8">
      <c r="D107" s="56"/>
      <c r="E107" s="97"/>
      <c r="F107" s="97"/>
      <c r="H107" s="58"/>
    </row>
    <row r="108" spans="4:8">
      <c r="D108" s="56"/>
      <c r="E108" s="97"/>
      <c r="F108" s="97"/>
      <c r="H108" s="58"/>
    </row>
    <row r="109" spans="4:8">
      <c r="D109" s="56"/>
      <c r="E109" s="97"/>
      <c r="F109" s="97"/>
      <c r="H109" s="58"/>
    </row>
    <row r="110" spans="4:8">
      <c r="D110" s="56"/>
      <c r="E110" s="97"/>
      <c r="F110" s="97"/>
      <c r="H110" s="58"/>
    </row>
    <row r="111" spans="4:8">
      <c r="D111" s="56"/>
      <c r="E111" s="97"/>
      <c r="F111" s="97"/>
      <c r="H111" s="58"/>
    </row>
    <row r="112" spans="4:8">
      <c r="D112" s="56"/>
      <c r="E112" s="97"/>
      <c r="F112" s="97"/>
      <c r="H112" s="58"/>
    </row>
    <row r="113" spans="4:9">
      <c r="D113" s="56"/>
      <c r="E113" s="97"/>
      <c r="F113" s="97"/>
      <c r="H113" s="58"/>
    </row>
    <row r="114" spans="4:9">
      <c r="D114" s="56"/>
      <c r="E114" s="97"/>
      <c r="F114" s="97"/>
      <c r="H114" s="58"/>
      <c r="I114" s="100"/>
    </row>
    <row r="115" spans="4:9">
      <c r="D115" s="56"/>
      <c r="E115" s="97"/>
      <c r="F115" s="97"/>
      <c r="H115" s="58"/>
      <c r="I115" s="100"/>
    </row>
    <row r="116" spans="4:9">
      <c r="D116" s="56"/>
      <c r="E116" s="97"/>
      <c r="F116" s="97"/>
      <c r="H116" s="58"/>
    </row>
    <row r="117" spans="4:9">
      <c r="D117" s="56"/>
      <c r="E117" s="97"/>
      <c r="F117" s="97"/>
      <c r="H117" s="58"/>
    </row>
    <row r="118" spans="4:9">
      <c r="D118" s="56"/>
      <c r="E118" s="97"/>
      <c r="F118" s="97"/>
      <c r="H118" s="58"/>
    </row>
    <row r="119" spans="4:9">
      <c r="D119" s="56"/>
      <c r="E119" s="97"/>
      <c r="F119" s="97"/>
      <c r="H119" s="58"/>
    </row>
    <row r="120" spans="4:9">
      <c r="D120" s="56"/>
      <c r="H120" s="58"/>
    </row>
    <row r="121" spans="4:9">
      <c r="D121" s="56"/>
      <c r="H121" s="58"/>
    </row>
    <row r="122" spans="4:9">
      <c r="D122" s="56"/>
      <c r="H122" s="58"/>
    </row>
    <row r="123" spans="4:9">
      <c r="D123" s="56"/>
      <c r="H123" s="58"/>
    </row>
    <row r="124" spans="4:9">
      <c r="D124" s="56"/>
      <c r="H124" s="58"/>
    </row>
    <row r="125" spans="4:9">
      <c r="D125" s="56"/>
      <c r="H125" s="58"/>
    </row>
    <row r="126" spans="4:9">
      <c r="D126" s="56"/>
      <c r="H126" s="58"/>
    </row>
    <row r="127" spans="4:9">
      <c r="D127" s="56"/>
      <c r="H127" s="58"/>
    </row>
    <row r="128" spans="4:9">
      <c r="D128" s="56"/>
      <c r="H128" s="58"/>
    </row>
    <row r="129" spans="4:8">
      <c r="D129" s="56"/>
      <c r="H129" s="58"/>
    </row>
    <row r="130" spans="4:8">
      <c r="D130" s="56"/>
      <c r="H130" s="58"/>
    </row>
    <row r="131" spans="4:8">
      <c r="D131" s="56"/>
      <c r="H131" s="58"/>
    </row>
    <row r="132" spans="4:8">
      <c r="D132" s="56"/>
      <c r="H132" s="58"/>
    </row>
    <row r="133" spans="4:8">
      <c r="D133" s="56"/>
      <c r="H133" s="58"/>
    </row>
    <row r="134" spans="4:8">
      <c r="D134" s="56"/>
      <c r="H134" s="58"/>
    </row>
    <row r="135" spans="4:8">
      <c r="D135" s="56"/>
      <c r="H135" s="58"/>
    </row>
    <row r="136" spans="4:8">
      <c r="D136" s="56"/>
      <c r="H136" s="58"/>
    </row>
    <row r="137" spans="4:8">
      <c r="D137" s="56"/>
      <c r="H137" s="58"/>
    </row>
    <row r="138" spans="4:8">
      <c r="D138" s="56"/>
      <c r="H138" s="58"/>
    </row>
    <row r="139" spans="4:8">
      <c r="D139" s="56"/>
      <c r="H139" s="58"/>
    </row>
    <row r="140" spans="4:8">
      <c r="D140" s="56"/>
      <c r="H140" s="58"/>
    </row>
    <row r="141" spans="4:8">
      <c r="D141" s="56"/>
      <c r="H141" s="58"/>
    </row>
    <row r="142" spans="4:8">
      <c r="D142" s="56"/>
      <c r="H142" s="58"/>
    </row>
    <row r="143" spans="4:8">
      <c r="D143" s="56"/>
      <c r="H143" s="58"/>
    </row>
    <row r="144" spans="4:8">
      <c r="D144" s="56"/>
      <c r="H144" s="58"/>
    </row>
    <row r="145" spans="4:8">
      <c r="D145" s="56"/>
      <c r="H145" s="58"/>
    </row>
    <row r="146" spans="4:8">
      <c r="D146" s="56"/>
      <c r="H146" s="58"/>
    </row>
    <row r="147" spans="4:8">
      <c r="D147" s="56"/>
      <c r="H147" s="58"/>
    </row>
    <row r="148" spans="4:8">
      <c r="D148" s="56"/>
      <c r="H148" s="58"/>
    </row>
    <row r="149" spans="4:8">
      <c r="D149" s="56"/>
      <c r="H149" s="58"/>
    </row>
    <row r="150" spans="4:8">
      <c r="D150" s="56"/>
      <c r="E150" s="97"/>
      <c r="F150" s="97"/>
      <c r="H150" s="58"/>
    </row>
    <row r="151" spans="4:8">
      <c r="D151" s="56"/>
      <c r="E151" s="97"/>
      <c r="F151" s="97"/>
      <c r="H151" s="58"/>
    </row>
    <row r="152" spans="4:8">
      <c r="D152" s="56"/>
      <c r="E152" s="97"/>
      <c r="F152" s="97"/>
      <c r="H152" s="58"/>
    </row>
    <row r="153" spans="4:8">
      <c r="D153" s="56"/>
      <c r="E153" s="97"/>
      <c r="F153" s="97"/>
      <c r="H153" s="58"/>
    </row>
    <row r="154" spans="4:8">
      <c r="D154" s="56"/>
      <c r="E154" s="97"/>
      <c r="F154" s="97"/>
      <c r="H154" s="58"/>
    </row>
    <row r="155" spans="4:8">
      <c r="D155" s="56"/>
      <c r="E155" s="97"/>
      <c r="F155" s="97"/>
      <c r="H155" s="58"/>
    </row>
    <row r="156" spans="4:8">
      <c r="D156" s="56"/>
      <c r="E156" s="97"/>
      <c r="F156" s="97"/>
      <c r="H156" s="58"/>
    </row>
    <row r="157" spans="4:8">
      <c r="D157" s="56"/>
      <c r="E157" s="97"/>
      <c r="F157" s="97"/>
      <c r="H157" s="58"/>
    </row>
    <row r="158" spans="4:8">
      <c r="D158" s="56"/>
      <c r="E158" s="97"/>
      <c r="F158" s="97"/>
      <c r="H158" s="58"/>
    </row>
    <row r="159" spans="4:8">
      <c r="D159" s="56"/>
      <c r="E159" s="97"/>
      <c r="F159" s="97"/>
      <c r="H159" s="58"/>
    </row>
    <row r="160" spans="4:8">
      <c r="D160" s="56"/>
      <c r="E160" s="97"/>
      <c r="F160" s="97"/>
      <c r="H160" s="58"/>
    </row>
    <row r="161" spans="4:8">
      <c r="D161" s="56"/>
      <c r="E161" s="97"/>
      <c r="F161" s="97"/>
      <c r="H161" s="58"/>
    </row>
    <row r="162" spans="4:8">
      <c r="D162" s="56"/>
      <c r="E162" s="97"/>
      <c r="F162" s="97"/>
      <c r="H162" s="58"/>
    </row>
    <row r="163" spans="4:8">
      <c r="D163" s="56"/>
      <c r="E163" s="97"/>
      <c r="F163" s="97"/>
      <c r="H163" s="58"/>
    </row>
    <row r="164" spans="4:8">
      <c r="D164" s="56"/>
      <c r="E164" s="97"/>
      <c r="F164" s="97"/>
      <c r="H164" s="58"/>
    </row>
    <row r="165" spans="4:8">
      <c r="D165" s="56"/>
      <c r="E165" s="97"/>
      <c r="F165" s="97"/>
      <c r="H165" s="58"/>
    </row>
    <row r="166" spans="4:8">
      <c r="D166" s="56"/>
      <c r="E166" s="97"/>
      <c r="F166" s="97"/>
      <c r="H166" s="58"/>
    </row>
    <row r="167" spans="4:8">
      <c r="D167" s="56"/>
      <c r="E167" s="97"/>
      <c r="F167" s="97"/>
      <c r="H167" s="58"/>
    </row>
    <row r="168" spans="4:8">
      <c r="D168" s="56"/>
      <c r="E168" s="97"/>
      <c r="F168" s="97"/>
      <c r="H168" s="58"/>
    </row>
    <row r="169" spans="4:8">
      <c r="D169" s="56"/>
      <c r="E169" s="97"/>
      <c r="F169" s="97"/>
      <c r="H169" s="58"/>
    </row>
    <row r="170" spans="4:8">
      <c r="D170" s="56"/>
      <c r="E170" s="97"/>
      <c r="F170" s="97"/>
      <c r="H170" s="58"/>
    </row>
    <row r="171" spans="4:8">
      <c r="D171" s="56"/>
      <c r="E171" s="97"/>
      <c r="F171" s="97"/>
      <c r="H171" s="58"/>
    </row>
    <row r="172" spans="4:8">
      <c r="D172" s="56"/>
      <c r="E172" s="97"/>
      <c r="F172" s="97"/>
      <c r="H172" s="58"/>
    </row>
    <row r="173" spans="4:8">
      <c r="D173" s="56"/>
      <c r="E173" s="97"/>
      <c r="F173" s="97"/>
      <c r="H173" s="58"/>
    </row>
    <row r="174" spans="4:8">
      <c r="D174" s="56"/>
      <c r="E174" s="97"/>
      <c r="F174" s="97"/>
      <c r="H174" s="58"/>
    </row>
    <row r="175" spans="4:8">
      <c r="D175" s="56"/>
      <c r="E175" s="97"/>
      <c r="F175" s="97"/>
      <c r="H175" s="58"/>
    </row>
    <row r="176" spans="4:8">
      <c r="D176" s="56"/>
      <c r="E176" s="97"/>
      <c r="F176" s="97"/>
      <c r="H176" s="58"/>
    </row>
    <row r="177" spans="4:8">
      <c r="D177" s="56"/>
      <c r="E177" s="97"/>
      <c r="F177" s="97"/>
      <c r="H177" s="58"/>
    </row>
    <row r="178" spans="4:8">
      <c r="D178" s="56"/>
      <c r="E178" s="97"/>
      <c r="F178" s="97"/>
      <c r="H178" s="58"/>
    </row>
    <row r="179" spans="4:8">
      <c r="D179" s="56"/>
      <c r="E179" s="97"/>
      <c r="F179" s="97"/>
      <c r="H179" s="58"/>
    </row>
    <row r="180" spans="4:8">
      <c r="D180" s="56"/>
      <c r="E180" s="97"/>
      <c r="F180" s="97"/>
      <c r="H180" s="58"/>
    </row>
    <row r="181" spans="4:8">
      <c r="D181" s="56"/>
      <c r="E181" s="97"/>
      <c r="F181" s="97"/>
      <c r="H181" s="58"/>
    </row>
    <row r="182" spans="4:8">
      <c r="D182" s="56"/>
      <c r="E182" s="97"/>
      <c r="F182" s="97"/>
      <c r="H182" s="58"/>
    </row>
    <row r="183" spans="4:8">
      <c r="D183" s="56"/>
      <c r="E183" s="97"/>
      <c r="F183" s="97"/>
      <c r="H183" s="58"/>
    </row>
    <row r="184" spans="4:8">
      <c r="D184" s="56"/>
      <c r="E184" s="97"/>
      <c r="F184" s="97"/>
      <c r="H184" s="58"/>
    </row>
    <row r="185" spans="4:8">
      <c r="D185" s="56"/>
      <c r="E185" s="97"/>
      <c r="F185" s="97"/>
      <c r="H185" s="58"/>
    </row>
    <row r="186" spans="4:8">
      <c r="D186" s="56"/>
      <c r="E186" s="97"/>
      <c r="F186" s="97"/>
      <c r="H186" s="58"/>
    </row>
    <row r="187" spans="4:8">
      <c r="D187" s="56"/>
      <c r="E187" s="97"/>
      <c r="F187" s="97"/>
      <c r="H187" s="58"/>
    </row>
    <row r="188" spans="4:8">
      <c r="D188" s="56"/>
      <c r="E188" s="97"/>
      <c r="F188" s="97"/>
      <c r="H188" s="58"/>
    </row>
    <row r="189" spans="4:8">
      <c r="D189" s="56"/>
      <c r="H189" s="58"/>
    </row>
    <row r="190" spans="4:8">
      <c r="D190" s="56"/>
      <c r="H190" s="58"/>
    </row>
    <row r="191" spans="4:8">
      <c r="D191" s="56"/>
      <c r="H191" s="58"/>
    </row>
    <row r="192" spans="4:8">
      <c r="D192" s="56"/>
      <c r="H192" s="58"/>
    </row>
    <row r="193" spans="4:8">
      <c r="D193" s="56"/>
      <c r="H193" s="58"/>
    </row>
    <row r="194" spans="4:8">
      <c r="D194" s="56"/>
      <c r="H194" s="58"/>
    </row>
    <row r="195" spans="4:8">
      <c r="D195" s="56"/>
      <c r="H195" s="58"/>
    </row>
    <row r="196" spans="4:8">
      <c r="D196" s="56"/>
      <c r="E196" s="97"/>
      <c r="F196" s="97"/>
      <c r="H196" s="58"/>
    </row>
    <row r="197" spans="4:8">
      <c r="D197" s="56"/>
      <c r="E197" s="97"/>
      <c r="F197" s="97"/>
      <c r="H197" s="58"/>
    </row>
    <row r="198" spans="4:8">
      <c r="D198" s="56"/>
      <c r="E198" s="97"/>
      <c r="F198" s="97"/>
      <c r="H198" s="58"/>
    </row>
    <row r="199" spans="4:8">
      <c r="D199" s="56"/>
      <c r="E199" s="97"/>
      <c r="F199" s="97"/>
      <c r="H199" s="58"/>
    </row>
    <row r="200" spans="4:8">
      <c r="D200" s="56"/>
      <c r="H200" s="58"/>
    </row>
    <row r="201" spans="4:8">
      <c r="D201" s="56"/>
      <c r="H201" s="58"/>
    </row>
    <row r="202" spans="4:8">
      <c r="D202" s="56"/>
      <c r="E202" s="97"/>
      <c r="F202" s="97"/>
      <c r="H202" s="58"/>
    </row>
    <row r="203" spans="4:8">
      <c r="D203" s="56"/>
      <c r="E203" s="97"/>
      <c r="F203" s="97"/>
      <c r="H203" s="58"/>
    </row>
    <row r="204" spans="4:8">
      <c r="D204" s="56"/>
      <c r="E204" s="97"/>
      <c r="F204" s="97"/>
      <c r="H204" s="58"/>
    </row>
    <row r="205" spans="4:8">
      <c r="D205" s="56"/>
      <c r="E205" s="97"/>
      <c r="F205" s="97"/>
      <c r="H205" s="58"/>
    </row>
    <row r="206" spans="4:8">
      <c r="D206" s="56"/>
      <c r="E206" s="97"/>
      <c r="F206" s="97"/>
      <c r="H206" s="58"/>
    </row>
    <row r="207" spans="4:8">
      <c r="D207" s="56"/>
      <c r="E207" s="97"/>
      <c r="F207" s="97"/>
      <c r="H207" s="58"/>
    </row>
    <row r="208" spans="4:8">
      <c r="D208" s="56"/>
      <c r="E208" s="97"/>
      <c r="F208" s="97"/>
      <c r="H208" s="58"/>
    </row>
    <row r="209" spans="4:8">
      <c r="D209" s="56"/>
      <c r="E209" s="97"/>
      <c r="F209" s="97"/>
      <c r="H209" s="58"/>
    </row>
    <row r="210" spans="4:8">
      <c r="D210" s="56"/>
      <c r="E210" s="97"/>
      <c r="F210" s="97"/>
      <c r="H210" s="58"/>
    </row>
    <row r="211" spans="4:8">
      <c r="D211" s="56"/>
      <c r="E211" s="97"/>
      <c r="F211" s="97"/>
      <c r="H211" s="58"/>
    </row>
    <row r="212" spans="4:8">
      <c r="D212" s="56"/>
      <c r="E212" s="104"/>
      <c r="F212" s="104"/>
      <c r="H212" s="58"/>
    </row>
    <row r="213" spans="4:8">
      <c r="D213" s="56"/>
      <c r="E213" s="104"/>
      <c r="F213" s="104"/>
      <c r="H213" s="58"/>
    </row>
    <row r="214" spans="4:8">
      <c r="D214" s="56"/>
      <c r="H214" s="58"/>
    </row>
    <row r="215" spans="4:8">
      <c r="D215" s="56"/>
      <c r="H215" s="58"/>
    </row>
    <row r="216" spans="4:8">
      <c r="D216" s="56"/>
      <c r="E216" s="104"/>
      <c r="F216" s="104"/>
      <c r="H216" s="58"/>
    </row>
    <row r="217" spans="4:8">
      <c r="D217" s="56"/>
      <c r="E217" s="104"/>
      <c r="F217" s="104"/>
      <c r="H217" s="58"/>
    </row>
    <row r="218" spans="4:8">
      <c r="D218" s="56"/>
      <c r="E218" s="104"/>
      <c r="F218" s="104"/>
      <c r="H218" s="58"/>
    </row>
    <row r="219" spans="4:8">
      <c r="D219" s="56"/>
      <c r="E219" s="104"/>
      <c r="F219" s="104"/>
      <c r="H219" s="58"/>
    </row>
    <row r="220" spans="4:8">
      <c r="D220" s="56"/>
      <c r="E220" s="104"/>
      <c r="F220" s="104"/>
      <c r="H220" s="58"/>
    </row>
    <row r="221" spans="4:8">
      <c r="D221" s="56"/>
      <c r="E221" s="104"/>
      <c r="F221" s="104"/>
      <c r="H221" s="58"/>
    </row>
    <row r="222" spans="4:8">
      <c r="D222" s="56"/>
      <c r="E222" s="104"/>
      <c r="F222" s="104"/>
      <c r="H222" s="58"/>
    </row>
    <row r="223" spans="4:8">
      <c r="D223" s="56"/>
      <c r="E223" s="104"/>
      <c r="F223" s="104"/>
      <c r="H223" s="58"/>
    </row>
    <row r="224" spans="4:8">
      <c r="D224" s="56"/>
      <c r="E224" s="104"/>
      <c r="F224" s="104"/>
      <c r="H224" s="58"/>
    </row>
    <row r="225" spans="4:8">
      <c r="D225" s="56"/>
      <c r="E225" s="104"/>
      <c r="F225" s="104"/>
      <c r="H225" s="58"/>
    </row>
    <row r="226" spans="4:8">
      <c r="D226" s="56"/>
      <c r="E226" s="104"/>
      <c r="F226" s="104"/>
      <c r="H226" s="58"/>
    </row>
    <row r="227" spans="4:8">
      <c r="D227" s="56"/>
      <c r="E227" s="104"/>
      <c r="F227" s="104"/>
      <c r="H227" s="58"/>
    </row>
    <row r="228" spans="4:8">
      <c r="D228" s="56"/>
      <c r="H228" s="58"/>
    </row>
    <row r="229" spans="4:8">
      <c r="D229" s="56"/>
      <c r="H229" s="58"/>
    </row>
    <row r="230" spans="4:8">
      <c r="D230" s="56"/>
      <c r="E230" s="104"/>
      <c r="F230" s="104"/>
      <c r="H230" s="58"/>
    </row>
    <row r="231" spans="4:8">
      <c r="D231" s="56"/>
      <c r="E231" s="104"/>
      <c r="F231" s="104"/>
      <c r="H231" s="58"/>
    </row>
    <row r="232" spans="4:8">
      <c r="D232" s="56"/>
      <c r="E232" s="104"/>
      <c r="F232" s="104"/>
      <c r="H232" s="58"/>
    </row>
    <row r="233" spans="4:8">
      <c r="D233" s="56"/>
      <c r="E233" s="104"/>
      <c r="F233" s="104"/>
      <c r="H233" s="58"/>
    </row>
    <row r="234" spans="4:8">
      <c r="D234" s="56"/>
      <c r="E234" s="104"/>
      <c r="F234" s="104"/>
      <c r="H234" s="58"/>
    </row>
    <row r="235" spans="4:8">
      <c r="D235" s="56"/>
      <c r="E235" s="104"/>
      <c r="F235" s="104"/>
      <c r="H235" s="58"/>
    </row>
    <row r="236" spans="4:8">
      <c r="D236" s="56"/>
      <c r="E236" s="104"/>
      <c r="F236" s="104"/>
      <c r="H236" s="58"/>
    </row>
    <row r="237" spans="4:8">
      <c r="D237" s="56"/>
      <c r="E237" s="104"/>
      <c r="F237" s="104"/>
      <c r="H237" s="58"/>
    </row>
    <row r="238" spans="4:8">
      <c r="D238" s="56"/>
      <c r="E238" s="104"/>
      <c r="F238" s="104"/>
      <c r="H238" s="58"/>
    </row>
    <row r="239" spans="4:8">
      <c r="D239" s="56"/>
      <c r="E239" s="104"/>
      <c r="F239" s="104"/>
      <c r="H239" s="58"/>
    </row>
    <row r="240" spans="4:8">
      <c r="D240" s="56"/>
      <c r="E240" s="104"/>
      <c r="F240" s="104"/>
      <c r="H240" s="58"/>
    </row>
    <row r="241" spans="4:8">
      <c r="D241" s="56"/>
      <c r="E241" s="104"/>
      <c r="F241" s="104"/>
      <c r="H241" s="58"/>
    </row>
    <row r="242" spans="4:8">
      <c r="D242" s="56"/>
      <c r="E242" s="104"/>
      <c r="F242" s="104"/>
      <c r="H242" s="58"/>
    </row>
    <row r="243" spans="4:8">
      <c r="D243" s="56"/>
      <c r="E243" s="104"/>
      <c r="F243" s="104"/>
      <c r="H243" s="58"/>
    </row>
    <row r="244" spans="4:8">
      <c r="D244" s="56"/>
      <c r="E244" s="104"/>
      <c r="F244" s="104"/>
      <c r="H244" s="58"/>
    </row>
    <row r="245" spans="4:8">
      <c r="D245" s="56"/>
      <c r="E245" s="104"/>
      <c r="F245" s="104"/>
      <c r="H245" s="58"/>
    </row>
    <row r="246" spans="4:8">
      <c r="D246" s="56"/>
      <c r="H246" s="58"/>
    </row>
    <row r="247" spans="4:8">
      <c r="D247" s="56"/>
      <c r="H247" s="58"/>
    </row>
    <row r="248" spans="4:8">
      <c r="D248" s="56"/>
      <c r="E248" s="104"/>
      <c r="F248" s="104"/>
      <c r="H248" s="58"/>
    </row>
    <row r="249" spans="4:8">
      <c r="D249" s="56"/>
      <c r="E249" s="104"/>
      <c r="F249" s="104"/>
      <c r="H249" s="58"/>
    </row>
    <row r="250" spans="4:8">
      <c r="D250" s="56"/>
      <c r="H250" s="58"/>
    </row>
    <row r="251" spans="4:8">
      <c r="D251" s="56"/>
      <c r="H251" s="58"/>
    </row>
    <row r="252" spans="4:8">
      <c r="D252" s="56"/>
      <c r="E252" s="104"/>
      <c r="F252" s="104"/>
      <c r="H252" s="58"/>
    </row>
    <row r="253" spans="4:8">
      <c r="D253" s="56"/>
      <c r="E253" s="104"/>
      <c r="F253" s="104"/>
      <c r="H253" s="58"/>
    </row>
    <row r="254" spans="4:8">
      <c r="D254" s="56"/>
      <c r="H254" s="58"/>
    </row>
    <row r="255" spans="4:8">
      <c r="D255" s="56"/>
      <c r="H255" s="58"/>
    </row>
    <row r="256" spans="4:8">
      <c r="D256" s="56"/>
      <c r="E256" s="104"/>
      <c r="F256" s="104"/>
      <c r="H256" s="58"/>
    </row>
    <row r="257" spans="4:8">
      <c r="D257" s="56"/>
      <c r="E257" s="104"/>
      <c r="F257" s="104"/>
      <c r="H257" s="58"/>
    </row>
    <row r="258" spans="4:8">
      <c r="D258" s="56"/>
      <c r="E258" s="104"/>
      <c r="F258" s="104"/>
      <c r="H258" s="58"/>
    </row>
    <row r="259" spans="4:8">
      <c r="D259" s="56"/>
      <c r="E259" s="104"/>
      <c r="F259" s="104"/>
      <c r="H259" s="58"/>
    </row>
    <row r="260" spans="4:8">
      <c r="D260" s="56"/>
      <c r="H260" s="58"/>
    </row>
    <row r="261" spans="4:8">
      <c r="D261" s="56"/>
      <c r="H261" s="58"/>
    </row>
    <row r="262" spans="4:8">
      <c r="D262" s="56"/>
      <c r="H262" s="58"/>
    </row>
    <row r="263" spans="4:8">
      <c r="D263" s="56"/>
      <c r="H263" s="58"/>
    </row>
    <row r="264" spans="4:8">
      <c r="D264" s="56"/>
      <c r="H264" s="58"/>
    </row>
    <row r="265" spans="4:8">
      <c r="D265" s="56"/>
      <c r="H265" s="58"/>
    </row>
    <row r="266" spans="4:8">
      <c r="H266" s="58" t="str">
        <f t="shared" ref="H266:H286" si="0">+IF(G266="","",E266/F266)</f>
        <v/>
      </c>
    </row>
    <row r="267" spans="4:8">
      <c r="H267" s="58" t="str">
        <f t="shared" si="0"/>
        <v/>
      </c>
    </row>
    <row r="268" spans="4:8">
      <c r="H268" s="58" t="str">
        <f t="shared" si="0"/>
        <v/>
      </c>
    </row>
    <row r="269" spans="4:8">
      <c r="H269" s="58" t="str">
        <f t="shared" si="0"/>
        <v/>
      </c>
    </row>
    <row r="270" spans="4:8">
      <c r="H270" s="58" t="str">
        <f t="shared" si="0"/>
        <v/>
      </c>
    </row>
    <row r="271" spans="4:8">
      <c r="H271" s="58" t="str">
        <f t="shared" si="0"/>
        <v/>
      </c>
    </row>
    <row r="272" spans="4:8">
      <c r="H272" s="58" t="str">
        <f t="shared" si="0"/>
        <v/>
      </c>
    </row>
    <row r="273" spans="8:8">
      <c r="H273" s="58" t="str">
        <f t="shared" si="0"/>
        <v/>
      </c>
    </row>
    <row r="274" spans="8:8">
      <c r="H274" s="58" t="str">
        <f t="shared" si="0"/>
        <v/>
      </c>
    </row>
    <row r="275" spans="8:8">
      <c r="H275" s="58" t="str">
        <f t="shared" si="0"/>
        <v/>
      </c>
    </row>
    <row r="276" spans="8:8">
      <c r="H276" s="58" t="str">
        <f t="shared" si="0"/>
        <v/>
      </c>
    </row>
    <row r="277" spans="8:8">
      <c r="H277" s="58" t="str">
        <f t="shared" si="0"/>
        <v/>
      </c>
    </row>
    <row r="278" spans="8:8">
      <c r="H278" s="58" t="str">
        <f t="shared" si="0"/>
        <v/>
      </c>
    </row>
    <row r="279" spans="8:8">
      <c r="H279" s="58" t="str">
        <f t="shared" si="0"/>
        <v/>
      </c>
    </row>
    <row r="280" spans="8:8">
      <c r="H280" s="58" t="str">
        <f t="shared" si="0"/>
        <v/>
      </c>
    </row>
    <row r="281" spans="8:8">
      <c r="H281" s="58" t="str">
        <f t="shared" si="0"/>
        <v/>
      </c>
    </row>
    <row r="282" spans="8:8">
      <c r="H282" s="58" t="str">
        <f t="shared" si="0"/>
        <v/>
      </c>
    </row>
    <row r="283" spans="8:8">
      <c r="H283" s="58" t="str">
        <f t="shared" si="0"/>
        <v/>
      </c>
    </row>
    <row r="284" spans="8:8">
      <c r="H284" s="58" t="str">
        <f t="shared" si="0"/>
        <v/>
      </c>
    </row>
    <row r="285" spans="8:8">
      <c r="H285" s="58" t="str">
        <f t="shared" si="0"/>
        <v/>
      </c>
    </row>
    <row r="286" spans="8:8">
      <c r="H286" s="58" t="str">
        <f t="shared" si="0"/>
        <v/>
      </c>
    </row>
    <row r="287" spans="8:8">
      <c r="H287" s="58" t="str">
        <f t="shared" ref="H287:H350" si="1">+IF(G287="","",E287/F287)</f>
        <v/>
      </c>
    </row>
    <row r="288" spans="8:8">
      <c r="H288" s="58" t="str">
        <f t="shared" si="1"/>
        <v/>
      </c>
    </row>
    <row r="289" spans="8:8">
      <c r="H289" s="58" t="str">
        <f t="shared" si="1"/>
        <v/>
      </c>
    </row>
    <row r="290" spans="8:8">
      <c r="H290" s="58" t="str">
        <f t="shared" si="1"/>
        <v/>
      </c>
    </row>
    <row r="291" spans="8:8">
      <c r="H291" s="58" t="str">
        <f t="shared" si="1"/>
        <v/>
      </c>
    </row>
    <row r="292" spans="8:8">
      <c r="H292" s="58" t="str">
        <f t="shared" si="1"/>
        <v/>
      </c>
    </row>
    <row r="293" spans="8:8">
      <c r="H293" s="58" t="str">
        <f t="shared" si="1"/>
        <v/>
      </c>
    </row>
    <row r="294" spans="8:8">
      <c r="H294" s="58" t="str">
        <f t="shared" si="1"/>
        <v/>
      </c>
    </row>
    <row r="295" spans="8:8">
      <c r="H295" s="58" t="str">
        <f t="shared" si="1"/>
        <v/>
      </c>
    </row>
    <row r="296" spans="8:8">
      <c r="H296" s="58" t="str">
        <f t="shared" si="1"/>
        <v/>
      </c>
    </row>
    <row r="297" spans="8:8">
      <c r="H297" s="58" t="str">
        <f t="shared" si="1"/>
        <v/>
      </c>
    </row>
    <row r="298" spans="8:8">
      <c r="H298" s="58" t="str">
        <f t="shared" si="1"/>
        <v/>
      </c>
    </row>
    <row r="299" spans="8:8">
      <c r="H299" s="58" t="str">
        <f t="shared" si="1"/>
        <v/>
      </c>
    </row>
    <row r="300" spans="8:8">
      <c r="H300" s="58" t="str">
        <f t="shared" si="1"/>
        <v/>
      </c>
    </row>
    <row r="301" spans="8:8">
      <c r="H301" s="58" t="str">
        <f t="shared" si="1"/>
        <v/>
      </c>
    </row>
    <row r="302" spans="8:8">
      <c r="H302" s="58" t="str">
        <f t="shared" si="1"/>
        <v/>
      </c>
    </row>
    <row r="303" spans="8:8">
      <c r="H303" s="58" t="str">
        <f t="shared" si="1"/>
        <v/>
      </c>
    </row>
    <row r="304" spans="8:8">
      <c r="H304" s="58" t="str">
        <f t="shared" si="1"/>
        <v/>
      </c>
    </row>
    <row r="305" spans="8:8">
      <c r="H305" s="58" t="str">
        <f t="shared" si="1"/>
        <v/>
      </c>
    </row>
    <row r="306" spans="8:8">
      <c r="H306" s="58" t="str">
        <f t="shared" si="1"/>
        <v/>
      </c>
    </row>
    <row r="307" spans="8:8">
      <c r="H307" s="58" t="str">
        <f t="shared" si="1"/>
        <v/>
      </c>
    </row>
    <row r="308" spans="8:8">
      <c r="H308" s="58" t="str">
        <f t="shared" si="1"/>
        <v/>
      </c>
    </row>
    <row r="309" spans="8:8">
      <c r="H309" s="58" t="str">
        <f t="shared" si="1"/>
        <v/>
      </c>
    </row>
    <row r="310" spans="8:8">
      <c r="H310" s="58" t="str">
        <f t="shared" si="1"/>
        <v/>
      </c>
    </row>
    <row r="311" spans="8:8">
      <c r="H311" s="58" t="str">
        <f t="shared" si="1"/>
        <v/>
      </c>
    </row>
    <row r="312" spans="8:8">
      <c r="H312" s="58" t="str">
        <f t="shared" si="1"/>
        <v/>
      </c>
    </row>
    <row r="313" spans="8:8">
      <c r="H313" s="58" t="str">
        <f t="shared" si="1"/>
        <v/>
      </c>
    </row>
    <row r="314" spans="8:8">
      <c r="H314" s="58" t="str">
        <f t="shared" si="1"/>
        <v/>
      </c>
    </row>
    <row r="315" spans="8:8">
      <c r="H315" s="58" t="str">
        <f t="shared" si="1"/>
        <v/>
      </c>
    </row>
    <row r="316" spans="8:8">
      <c r="H316" s="58" t="str">
        <f t="shared" si="1"/>
        <v/>
      </c>
    </row>
    <row r="317" spans="8:8">
      <c r="H317" s="58" t="str">
        <f t="shared" si="1"/>
        <v/>
      </c>
    </row>
    <row r="318" spans="8:8">
      <c r="H318" s="58" t="str">
        <f t="shared" si="1"/>
        <v/>
      </c>
    </row>
    <row r="319" spans="8:8">
      <c r="H319" s="58" t="str">
        <f t="shared" si="1"/>
        <v/>
      </c>
    </row>
    <row r="320" spans="8:8">
      <c r="H320" s="58" t="str">
        <f t="shared" si="1"/>
        <v/>
      </c>
    </row>
    <row r="321" spans="8:8">
      <c r="H321" s="58" t="str">
        <f t="shared" si="1"/>
        <v/>
      </c>
    </row>
    <row r="322" spans="8:8">
      <c r="H322" s="58" t="str">
        <f t="shared" si="1"/>
        <v/>
      </c>
    </row>
    <row r="323" spans="8:8">
      <c r="H323" s="58" t="str">
        <f t="shared" si="1"/>
        <v/>
      </c>
    </row>
    <row r="324" spans="8:8">
      <c r="H324" s="58" t="str">
        <f t="shared" si="1"/>
        <v/>
      </c>
    </row>
    <row r="325" spans="8:8">
      <c r="H325" s="58" t="str">
        <f t="shared" si="1"/>
        <v/>
      </c>
    </row>
    <row r="326" spans="8:8">
      <c r="H326" s="58" t="str">
        <f t="shared" si="1"/>
        <v/>
      </c>
    </row>
    <row r="327" spans="8:8">
      <c r="H327" s="58" t="str">
        <f t="shared" si="1"/>
        <v/>
      </c>
    </row>
    <row r="328" spans="8:8">
      <c r="H328" s="58" t="str">
        <f t="shared" si="1"/>
        <v/>
      </c>
    </row>
    <row r="329" spans="8:8">
      <c r="H329" s="58" t="str">
        <f t="shared" si="1"/>
        <v/>
      </c>
    </row>
    <row r="330" spans="8:8">
      <c r="H330" s="58" t="str">
        <f t="shared" si="1"/>
        <v/>
      </c>
    </row>
    <row r="331" spans="8:8">
      <c r="H331" s="58" t="str">
        <f t="shared" si="1"/>
        <v/>
      </c>
    </row>
    <row r="332" spans="8:8">
      <c r="H332" s="58" t="str">
        <f t="shared" si="1"/>
        <v/>
      </c>
    </row>
    <row r="333" spans="8:8">
      <c r="H333" s="58" t="str">
        <f t="shared" si="1"/>
        <v/>
      </c>
    </row>
    <row r="334" spans="8:8">
      <c r="H334" s="58" t="str">
        <f t="shared" si="1"/>
        <v/>
      </c>
    </row>
    <row r="335" spans="8:8">
      <c r="H335" s="58" t="str">
        <f t="shared" si="1"/>
        <v/>
      </c>
    </row>
    <row r="336" spans="8:8">
      <c r="H336" s="58" t="str">
        <f t="shared" si="1"/>
        <v/>
      </c>
    </row>
    <row r="337" spans="8:8">
      <c r="H337" s="58" t="str">
        <f t="shared" si="1"/>
        <v/>
      </c>
    </row>
    <row r="338" spans="8:8">
      <c r="H338" s="58" t="str">
        <f t="shared" si="1"/>
        <v/>
      </c>
    </row>
    <row r="339" spans="8:8">
      <c r="H339" s="58" t="str">
        <f t="shared" si="1"/>
        <v/>
      </c>
    </row>
    <row r="340" spans="8:8">
      <c r="H340" s="58" t="str">
        <f t="shared" si="1"/>
        <v/>
      </c>
    </row>
    <row r="341" spans="8:8">
      <c r="H341" s="58" t="str">
        <f t="shared" si="1"/>
        <v/>
      </c>
    </row>
    <row r="342" spans="8:8">
      <c r="H342" s="58" t="str">
        <f t="shared" si="1"/>
        <v/>
      </c>
    </row>
    <row r="343" spans="8:8">
      <c r="H343" s="58" t="str">
        <f t="shared" si="1"/>
        <v/>
      </c>
    </row>
    <row r="344" spans="8:8">
      <c r="H344" s="58" t="str">
        <f t="shared" si="1"/>
        <v/>
      </c>
    </row>
    <row r="345" spans="8:8">
      <c r="H345" s="58" t="str">
        <f t="shared" si="1"/>
        <v/>
      </c>
    </row>
    <row r="346" spans="8:8">
      <c r="H346" s="58" t="str">
        <f t="shared" si="1"/>
        <v/>
      </c>
    </row>
    <row r="347" spans="8:8">
      <c r="H347" s="58" t="str">
        <f t="shared" si="1"/>
        <v/>
      </c>
    </row>
    <row r="348" spans="8:8">
      <c r="H348" s="58" t="str">
        <f t="shared" si="1"/>
        <v/>
      </c>
    </row>
    <row r="349" spans="8:8">
      <c r="H349" s="58" t="str">
        <f t="shared" si="1"/>
        <v/>
      </c>
    </row>
    <row r="350" spans="8:8">
      <c r="H350" s="58" t="str">
        <f t="shared" si="1"/>
        <v/>
      </c>
    </row>
    <row r="351" spans="8:8">
      <c r="H351" s="58" t="str">
        <f t="shared" ref="H351:H414" si="2">+IF(G351="","",E351/F351)</f>
        <v/>
      </c>
    </row>
    <row r="352" spans="8:8">
      <c r="H352" s="58" t="str">
        <f t="shared" si="2"/>
        <v/>
      </c>
    </row>
    <row r="353" spans="8:8">
      <c r="H353" s="58" t="str">
        <f t="shared" si="2"/>
        <v/>
      </c>
    </row>
    <row r="354" spans="8:8">
      <c r="H354" s="58" t="str">
        <f t="shared" si="2"/>
        <v/>
      </c>
    </row>
    <row r="355" spans="8:8">
      <c r="H355" s="58" t="str">
        <f t="shared" si="2"/>
        <v/>
      </c>
    </row>
    <row r="356" spans="8:8">
      <c r="H356" s="58" t="str">
        <f t="shared" si="2"/>
        <v/>
      </c>
    </row>
    <row r="357" spans="8:8">
      <c r="H357" s="58" t="str">
        <f t="shared" si="2"/>
        <v/>
      </c>
    </row>
    <row r="358" spans="8:8">
      <c r="H358" s="58" t="str">
        <f t="shared" si="2"/>
        <v/>
      </c>
    </row>
    <row r="359" spans="8:8">
      <c r="H359" s="58" t="str">
        <f t="shared" si="2"/>
        <v/>
      </c>
    </row>
    <row r="360" spans="8:8">
      <c r="H360" s="58" t="str">
        <f t="shared" si="2"/>
        <v/>
      </c>
    </row>
    <row r="361" spans="8:8">
      <c r="H361" s="58" t="str">
        <f t="shared" si="2"/>
        <v/>
      </c>
    </row>
    <row r="362" spans="8:8">
      <c r="H362" s="58" t="str">
        <f t="shared" si="2"/>
        <v/>
      </c>
    </row>
    <row r="363" spans="8:8">
      <c r="H363" s="58" t="str">
        <f t="shared" si="2"/>
        <v/>
      </c>
    </row>
    <row r="364" spans="8:8">
      <c r="H364" s="58" t="str">
        <f t="shared" si="2"/>
        <v/>
      </c>
    </row>
    <row r="365" spans="8:8">
      <c r="H365" s="58" t="str">
        <f t="shared" si="2"/>
        <v/>
      </c>
    </row>
    <row r="366" spans="8:8">
      <c r="H366" s="58" t="str">
        <f t="shared" si="2"/>
        <v/>
      </c>
    </row>
    <row r="367" spans="8:8">
      <c r="H367" s="58" t="str">
        <f t="shared" si="2"/>
        <v/>
      </c>
    </row>
    <row r="368" spans="8:8">
      <c r="H368" s="58" t="str">
        <f t="shared" si="2"/>
        <v/>
      </c>
    </row>
    <row r="369" spans="8:8">
      <c r="H369" s="58" t="str">
        <f t="shared" si="2"/>
        <v/>
      </c>
    </row>
    <row r="370" spans="8:8">
      <c r="H370" s="58" t="str">
        <f t="shared" si="2"/>
        <v/>
      </c>
    </row>
    <row r="371" spans="8:8">
      <c r="H371" s="58" t="str">
        <f t="shared" si="2"/>
        <v/>
      </c>
    </row>
    <row r="372" spans="8:8">
      <c r="H372" s="58" t="str">
        <f t="shared" si="2"/>
        <v/>
      </c>
    </row>
    <row r="373" spans="8:8">
      <c r="H373" s="58" t="str">
        <f t="shared" si="2"/>
        <v/>
      </c>
    </row>
    <row r="374" spans="8:8">
      <c r="H374" s="58" t="str">
        <f t="shared" si="2"/>
        <v/>
      </c>
    </row>
    <row r="375" spans="8:8">
      <c r="H375" s="58" t="str">
        <f t="shared" si="2"/>
        <v/>
      </c>
    </row>
    <row r="376" spans="8:8">
      <c r="H376" s="58" t="str">
        <f t="shared" si="2"/>
        <v/>
      </c>
    </row>
    <row r="377" spans="8:8">
      <c r="H377" s="58" t="str">
        <f t="shared" si="2"/>
        <v/>
      </c>
    </row>
    <row r="378" spans="8:8">
      <c r="H378" s="58" t="str">
        <f t="shared" si="2"/>
        <v/>
      </c>
    </row>
    <row r="379" spans="8:8">
      <c r="H379" s="58" t="str">
        <f t="shared" si="2"/>
        <v/>
      </c>
    </row>
    <row r="380" spans="8:8">
      <c r="H380" s="58" t="str">
        <f t="shared" si="2"/>
        <v/>
      </c>
    </row>
    <row r="381" spans="8:8">
      <c r="H381" s="58" t="str">
        <f t="shared" si="2"/>
        <v/>
      </c>
    </row>
    <row r="382" spans="8:8">
      <c r="H382" s="58" t="str">
        <f t="shared" si="2"/>
        <v/>
      </c>
    </row>
    <row r="383" spans="8:8">
      <c r="H383" s="58" t="str">
        <f t="shared" si="2"/>
        <v/>
      </c>
    </row>
    <row r="384" spans="8:8">
      <c r="H384" s="58" t="str">
        <f t="shared" si="2"/>
        <v/>
      </c>
    </row>
    <row r="385" spans="8:8">
      <c r="H385" s="58" t="str">
        <f t="shared" si="2"/>
        <v/>
      </c>
    </row>
    <row r="386" spans="8:8">
      <c r="H386" s="58" t="str">
        <f t="shared" si="2"/>
        <v/>
      </c>
    </row>
    <row r="387" spans="8:8">
      <c r="H387" s="58" t="str">
        <f t="shared" si="2"/>
        <v/>
      </c>
    </row>
    <row r="388" spans="8:8">
      <c r="H388" s="58" t="str">
        <f t="shared" si="2"/>
        <v/>
      </c>
    </row>
    <row r="389" spans="8:8">
      <c r="H389" s="58" t="str">
        <f t="shared" si="2"/>
        <v/>
      </c>
    </row>
    <row r="390" spans="8:8">
      <c r="H390" s="58" t="str">
        <f t="shared" si="2"/>
        <v/>
      </c>
    </row>
    <row r="391" spans="8:8">
      <c r="H391" s="58" t="str">
        <f t="shared" si="2"/>
        <v/>
      </c>
    </row>
    <row r="392" spans="8:8">
      <c r="H392" s="58" t="str">
        <f t="shared" si="2"/>
        <v/>
      </c>
    </row>
    <row r="393" spans="8:8">
      <c r="H393" s="58" t="str">
        <f t="shared" si="2"/>
        <v/>
      </c>
    </row>
    <row r="394" spans="8:8">
      <c r="H394" s="58" t="str">
        <f t="shared" si="2"/>
        <v/>
      </c>
    </row>
    <row r="395" spans="8:8">
      <c r="H395" s="58" t="str">
        <f t="shared" si="2"/>
        <v/>
      </c>
    </row>
    <row r="396" spans="8:8">
      <c r="H396" s="58" t="str">
        <f t="shared" si="2"/>
        <v/>
      </c>
    </row>
    <row r="397" spans="8:8">
      <c r="H397" s="58" t="str">
        <f t="shared" si="2"/>
        <v/>
      </c>
    </row>
    <row r="398" spans="8:8">
      <c r="H398" s="58" t="str">
        <f t="shared" si="2"/>
        <v/>
      </c>
    </row>
    <row r="399" spans="8:8">
      <c r="H399" s="58" t="str">
        <f t="shared" si="2"/>
        <v/>
      </c>
    </row>
    <row r="400" spans="8:8">
      <c r="H400" s="58" t="str">
        <f t="shared" si="2"/>
        <v/>
      </c>
    </row>
    <row r="401" spans="8:8">
      <c r="H401" s="58" t="str">
        <f t="shared" si="2"/>
        <v/>
      </c>
    </row>
    <row r="402" spans="8:8">
      <c r="H402" s="58" t="str">
        <f t="shared" si="2"/>
        <v/>
      </c>
    </row>
    <row r="403" spans="8:8">
      <c r="H403" s="58" t="str">
        <f t="shared" si="2"/>
        <v/>
      </c>
    </row>
    <row r="404" spans="8:8">
      <c r="H404" s="58" t="str">
        <f t="shared" si="2"/>
        <v/>
      </c>
    </row>
    <row r="405" spans="8:8">
      <c r="H405" s="58" t="str">
        <f t="shared" si="2"/>
        <v/>
      </c>
    </row>
    <row r="406" spans="8:8">
      <c r="H406" s="58" t="str">
        <f t="shared" si="2"/>
        <v/>
      </c>
    </row>
    <row r="407" spans="8:8">
      <c r="H407" s="58" t="str">
        <f t="shared" si="2"/>
        <v/>
      </c>
    </row>
    <row r="408" spans="8:8">
      <c r="H408" s="58" t="str">
        <f t="shared" si="2"/>
        <v/>
      </c>
    </row>
    <row r="409" spans="8:8">
      <c r="H409" s="58" t="str">
        <f t="shared" si="2"/>
        <v/>
      </c>
    </row>
    <row r="410" spans="8:8">
      <c r="H410" s="58" t="str">
        <f t="shared" si="2"/>
        <v/>
      </c>
    </row>
    <row r="411" spans="8:8">
      <c r="H411" s="58" t="str">
        <f t="shared" si="2"/>
        <v/>
      </c>
    </row>
    <row r="412" spans="8:8">
      <c r="H412" s="58" t="str">
        <f t="shared" si="2"/>
        <v/>
      </c>
    </row>
    <row r="413" spans="8:8">
      <c r="H413" s="58" t="str">
        <f t="shared" si="2"/>
        <v/>
      </c>
    </row>
    <row r="414" spans="8:8">
      <c r="H414" s="58" t="str">
        <f t="shared" si="2"/>
        <v/>
      </c>
    </row>
    <row r="415" spans="8:8">
      <c r="H415" s="58" t="str">
        <f t="shared" ref="H415:H478" si="3">+IF(G415="","",E415/F415)</f>
        <v/>
      </c>
    </row>
    <row r="416" spans="8:8">
      <c r="H416" s="58" t="str">
        <f t="shared" si="3"/>
        <v/>
      </c>
    </row>
    <row r="417" spans="8:8">
      <c r="H417" s="58" t="str">
        <f t="shared" si="3"/>
        <v/>
      </c>
    </row>
    <row r="418" spans="8:8">
      <c r="H418" s="58" t="str">
        <f t="shared" si="3"/>
        <v/>
      </c>
    </row>
    <row r="419" spans="8:8">
      <c r="H419" s="58" t="str">
        <f t="shared" si="3"/>
        <v/>
      </c>
    </row>
    <row r="420" spans="8:8">
      <c r="H420" s="58" t="str">
        <f t="shared" si="3"/>
        <v/>
      </c>
    </row>
    <row r="421" spans="8:8">
      <c r="H421" s="58" t="str">
        <f t="shared" si="3"/>
        <v/>
      </c>
    </row>
    <row r="422" spans="8:8">
      <c r="H422" s="58" t="str">
        <f t="shared" si="3"/>
        <v/>
      </c>
    </row>
    <row r="423" spans="8:8">
      <c r="H423" s="58" t="str">
        <f t="shared" si="3"/>
        <v/>
      </c>
    </row>
    <row r="424" spans="8:8">
      <c r="H424" s="58" t="str">
        <f t="shared" si="3"/>
        <v/>
      </c>
    </row>
    <row r="425" spans="8:8">
      <c r="H425" s="58" t="str">
        <f t="shared" si="3"/>
        <v/>
      </c>
    </row>
    <row r="426" spans="8:8">
      <c r="H426" s="58" t="str">
        <f t="shared" si="3"/>
        <v/>
      </c>
    </row>
    <row r="427" spans="8:8">
      <c r="H427" s="58" t="str">
        <f t="shared" si="3"/>
        <v/>
      </c>
    </row>
    <row r="428" spans="8:8">
      <c r="H428" s="58" t="str">
        <f t="shared" si="3"/>
        <v/>
      </c>
    </row>
    <row r="429" spans="8:8">
      <c r="H429" s="58" t="str">
        <f t="shared" si="3"/>
        <v/>
      </c>
    </row>
    <row r="430" spans="8:8">
      <c r="H430" s="58" t="str">
        <f t="shared" si="3"/>
        <v/>
      </c>
    </row>
    <row r="431" spans="8:8">
      <c r="H431" s="58" t="str">
        <f t="shared" si="3"/>
        <v/>
      </c>
    </row>
    <row r="432" spans="8:8">
      <c r="H432" s="58" t="str">
        <f t="shared" si="3"/>
        <v/>
      </c>
    </row>
    <row r="433" spans="8:8">
      <c r="H433" s="58" t="str">
        <f t="shared" si="3"/>
        <v/>
      </c>
    </row>
    <row r="434" spans="8:8">
      <c r="H434" s="58" t="str">
        <f t="shared" si="3"/>
        <v/>
      </c>
    </row>
    <row r="435" spans="8:8">
      <c r="H435" s="58" t="str">
        <f t="shared" si="3"/>
        <v/>
      </c>
    </row>
    <row r="436" spans="8:8">
      <c r="H436" s="58" t="str">
        <f t="shared" si="3"/>
        <v/>
      </c>
    </row>
    <row r="437" spans="8:8">
      <c r="H437" s="58" t="str">
        <f t="shared" si="3"/>
        <v/>
      </c>
    </row>
    <row r="438" spans="8:8">
      <c r="H438" s="58" t="str">
        <f t="shared" si="3"/>
        <v/>
      </c>
    </row>
    <row r="439" spans="8:8">
      <c r="H439" s="58" t="str">
        <f t="shared" si="3"/>
        <v/>
      </c>
    </row>
    <row r="440" spans="8:8">
      <c r="H440" s="58" t="str">
        <f t="shared" si="3"/>
        <v/>
      </c>
    </row>
    <row r="441" spans="8:8">
      <c r="H441" s="58" t="str">
        <f t="shared" si="3"/>
        <v/>
      </c>
    </row>
    <row r="442" spans="8:8">
      <c r="H442" s="58" t="str">
        <f t="shared" si="3"/>
        <v/>
      </c>
    </row>
    <row r="443" spans="8:8">
      <c r="H443" s="58" t="str">
        <f t="shared" si="3"/>
        <v/>
      </c>
    </row>
    <row r="444" spans="8:8">
      <c r="H444" s="58" t="str">
        <f t="shared" si="3"/>
        <v/>
      </c>
    </row>
    <row r="445" spans="8:8">
      <c r="H445" s="58" t="str">
        <f t="shared" si="3"/>
        <v/>
      </c>
    </row>
    <row r="446" spans="8:8">
      <c r="H446" s="58" t="str">
        <f t="shared" si="3"/>
        <v/>
      </c>
    </row>
    <row r="447" spans="8:8">
      <c r="H447" s="58" t="str">
        <f t="shared" si="3"/>
        <v/>
      </c>
    </row>
    <row r="448" spans="8:8">
      <c r="H448" s="58" t="str">
        <f t="shared" si="3"/>
        <v/>
      </c>
    </row>
    <row r="449" spans="8:8">
      <c r="H449" s="58" t="str">
        <f t="shared" si="3"/>
        <v/>
      </c>
    </row>
    <row r="450" spans="8:8">
      <c r="H450" s="58" t="str">
        <f t="shared" si="3"/>
        <v/>
      </c>
    </row>
    <row r="451" spans="8:8">
      <c r="H451" s="58" t="str">
        <f t="shared" si="3"/>
        <v/>
      </c>
    </row>
    <row r="452" spans="8:8">
      <c r="H452" s="58" t="str">
        <f t="shared" si="3"/>
        <v/>
      </c>
    </row>
    <row r="453" spans="8:8">
      <c r="H453" s="58" t="str">
        <f t="shared" si="3"/>
        <v/>
      </c>
    </row>
    <row r="454" spans="8:8">
      <c r="H454" s="58" t="str">
        <f t="shared" si="3"/>
        <v/>
      </c>
    </row>
    <row r="455" spans="8:8">
      <c r="H455" s="58" t="str">
        <f t="shared" si="3"/>
        <v/>
      </c>
    </row>
    <row r="456" spans="8:8">
      <c r="H456" s="58" t="str">
        <f t="shared" si="3"/>
        <v/>
      </c>
    </row>
    <row r="457" spans="8:8">
      <c r="H457" s="58" t="str">
        <f t="shared" si="3"/>
        <v/>
      </c>
    </row>
    <row r="458" spans="8:8">
      <c r="H458" s="58" t="str">
        <f t="shared" si="3"/>
        <v/>
      </c>
    </row>
    <row r="459" spans="8:8">
      <c r="H459" s="58" t="str">
        <f t="shared" si="3"/>
        <v/>
      </c>
    </row>
    <row r="460" spans="8:8">
      <c r="H460" s="58" t="str">
        <f t="shared" si="3"/>
        <v/>
      </c>
    </row>
    <row r="461" spans="8:8">
      <c r="H461" s="58" t="str">
        <f t="shared" si="3"/>
        <v/>
      </c>
    </row>
    <row r="462" spans="8:8">
      <c r="H462" s="58" t="str">
        <f t="shared" si="3"/>
        <v/>
      </c>
    </row>
    <row r="463" spans="8:8">
      <c r="H463" s="58" t="str">
        <f t="shared" si="3"/>
        <v/>
      </c>
    </row>
    <row r="464" spans="8:8">
      <c r="H464" s="58" t="str">
        <f t="shared" si="3"/>
        <v/>
      </c>
    </row>
    <row r="465" spans="8:8">
      <c r="H465" s="58" t="str">
        <f t="shared" si="3"/>
        <v/>
      </c>
    </row>
    <row r="466" spans="8:8">
      <c r="H466" s="58" t="str">
        <f t="shared" si="3"/>
        <v/>
      </c>
    </row>
    <row r="467" spans="8:8">
      <c r="H467" s="58" t="str">
        <f t="shared" si="3"/>
        <v/>
      </c>
    </row>
    <row r="468" spans="8:8">
      <c r="H468" s="58" t="str">
        <f t="shared" si="3"/>
        <v/>
      </c>
    </row>
    <row r="469" spans="8:8">
      <c r="H469" s="58" t="str">
        <f t="shared" si="3"/>
        <v/>
      </c>
    </row>
    <row r="470" spans="8:8">
      <c r="H470" s="58" t="str">
        <f t="shared" si="3"/>
        <v/>
      </c>
    </row>
    <row r="471" spans="8:8">
      <c r="H471" s="58" t="str">
        <f t="shared" si="3"/>
        <v/>
      </c>
    </row>
    <row r="472" spans="8:8">
      <c r="H472" s="58" t="str">
        <f t="shared" si="3"/>
        <v/>
      </c>
    </row>
    <row r="473" spans="8:8">
      <c r="H473" s="58" t="str">
        <f t="shared" si="3"/>
        <v/>
      </c>
    </row>
    <row r="474" spans="8:8">
      <c r="H474" s="58" t="str">
        <f t="shared" si="3"/>
        <v/>
      </c>
    </row>
    <row r="475" spans="8:8">
      <c r="H475" s="58" t="str">
        <f t="shared" si="3"/>
        <v/>
      </c>
    </row>
    <row r="476" spans="8:8">
      <c r="H476" s="58" t="str">
        <f t="shared" si="3"/>
        <v/>
      </c>
    </row>
    <row r="477" spans="8:8">
      <c r="H477" s="58" t="str">
        <f t="shared" si="3"/>
        <v/>
      </c>
    </row>
    <row r="478" spans="8:8">
      <c r="H478" s="58" t="str">
        <f t="shared" si="3"/>
        <v/>
      </c>
    </row>
    <row r="479" spans="8:8">
      <c r="H479" s="58" t="str">
        <f t="shared" ref="H479:H542" si="4">+IF(G479="","",E479/F479)</f>
        <v/>
      </c>
    </row>
    <row r="480" spans="8:8">
      <c r="H480" s="58" t="str">
        <f t="shared" si="4"/>
        <v/>
      </c>
    </row>
    <row r="481" spans="8:8">
      <c r="H481" s="58" t="str">
        <f t="shared" si="4"/>
        <v/>
      </c>
    </row>
    <row r="482" spans="8:8">
      <c r="H482" s="58" t="str">
        <f t="shared" si="4"/>
        <v/>
      </c>
    </row>
    <row r="483" spans="8:8">
      <c r="H483" s="58" t="str">
        <f t="shared" si="4"/>
        <v/>
      </c>
    </row>
    <row r="484" spans="8:8">
      <c r="H484" s="58" t="str">
        <f t="shared" si="4"/>
        <v/>
      </c>
    </row>
    <row r="485" spans="8:8">
      <c r="H485" s="58" t="str">
        <f t="shared" si="4"/>
        <v/>
      </c>
    </row>
    <row r="486" spans="8:8">
      <c r="H486" s="58" t="str">
        <f t="shared" si="4"/>
        <v/>
      </c>
    </row>
    <row r="487" spans="8:8">
      <c r="H487" s="58" t="str">
        <f t="shared" si="4"/>
        <v/>
      </c>
    </row>
    <row r="488" spans="8:8">
      <c r="H488" s="58" t="str">
        <f t="shared" si="4"/>
        <v/>
      </c>
    </row>
    <row r="489" spans="8:8">
      <c r="H489" s="58" t="str">
        <f t="shared" si="4"/>
        <v/>
      </c>
    </row>
    <row r="490" spans="8:8">
      <c r="H490" s="58" t="str">
        <f t="shared" si="4"/>
        <v/>
      </c>
    </row>
    <row r="491" spans="8:8">
      <c r="H491" s="58" t="str">
        <f t="shared" si="4"/>
        <v/>
      </c>
    </row>
    <row r="492" spans="8:8">
      <c r="H492" s="58" t="str">
        <f t="shared" si="4"/>
        <v/>
      </c>
    </row>
    <row r="493" spans="8:8">
      <c r="H493" s="58" t="str">
        <f t="shared" si="4"/>
        <v/>
      </c>
    </row>
    <row r="494" spans="8:8">
      <c r="H494" s="58" t="str">
        <f t="shared" si="4"/>
        <v/>
      </c>
    </row>
    <row r="495" spans="8:8">
      <c r="H495" s="58" t="str">
        <f t="shared" si="4"/>
        <v/>
      </c>
    </row>
    <row r="496" spans="8:8">
      <c r="H496" s="58" t="str">
        <f t="shared" si="4"/>
        <v/>
      </c>
    </row>
    <row r="497" spans="8:8">
      <c r="H497" s="58" t="str">
        <f t="shared" si="4"/>
        <v/>
      </c>
    </row>
    <row r="498" spans="8:8">
      <c r="H498" s="58" t="str">
        <f t="shared" si="4"/>
        <v/>
      </c>
    </row>
    <row r="499" spans="8:8">
      <c r="H499" s="58" t="str">
        <f t="shared" si="4"/>
        <v/>
      </c>
    </row>
    <row r="500" spans="8:8">
      <c r="H500" s="58" t="str">
        <f t="shared" si="4"/>
        <v/>
      </c>
    </row>
    <row r="501" spans="8:8">
      <c r="H501" s="58" t="str">
        <f t="shared" si="4"/>
        <v/>
      </c>
    </row>
    <row r="502" spans="8:8">
      <c r="H502" s="58" t="str">
        <f t="shared" si="4"/>
        <v/>
      </c>
    </row>
    <row r="503" spans="8:8">
      <c r="H503" s="58" t="str">
        <f t="shared" si="4"/>
        <v/>
      </c>
    </row>
    <row r="504" spans="8:8">
      <c r="H504" s="58" t="str">
        <f t="shared" si="4"/>
        <v/>
      </c>
    </row>
    <row r="505" spans="8:8">
      <c r="H505" s="58" t="str">
        <f t="shared" si="4"/>
        <v/>
      </c>
    </row>
    <row r="506" spans="8:8">
      <c r="H506" s="58" t="str">
        <f t="shared" si="4"/>
        <v/>
      </c>
    </row>
    <row r="507" spans="8:8">
      <c r="H507" s="58" t="str">
        <f t="shared" si="4"/>
        <v/>
      </c>
    </row>
    <row r="508" spans="8:8">
      <c r="H508" s="58" t="str">
        <f t="shared" si="4"/>
        <v/>
      </c>
    </row>
    <row r="509" spans="8:8">
      <c r="H509" s="58" t="str">
        <f t="shared" si="4"/>
        <v/>
      </c>
    </row>
    <row r="510" spans="8:8">
      <c r="H510" s="58" t="str">
        <f t="shared" si="4"/>
        <v/>
      </c>
    </row>
    <row r="511" spans="8:8">
      <c r="H511" s="58" t="str">
        <f t="shared" si="4"/>
        <v/>
      </c>
    </row>
    <row r="512" spans="8:8">
      <c r="H512" s="58" t="str">
        <f t="shared" si="4"/>
        <v/>
      </c>
    </row>
    <row r="513" spans="8:8">
      <c r="H513" s="58" t="str">
        <f t="shared" si="4"/>
        <v/>
      </c>
    </row>
    <row r="514" spans="8:8">
      <c r="H514" s="58" t="str">
        <f t="shared" si="4"/>
        <v/>
      </c>
    </row>
    <row r="515" spans="8:8">
      <c r="H515" s="58" t="str">
        <f t="shared" si="4"/>
        <v/>
      </c>
    </row>
    <row r="516" spans="8:8">
      <c r="H516" s="58" t="str">
        <f t="shared" si="4"/>
        <v/>
      </c>
    </row>
    <row r="517" spans="8:8">
      <c r="H517" s="58" t="str">
        <f t="shared" si="4"/>
        <v/>
      </c>
    </row>
    <row r="518" spans="8:8">
      <c r="H518" s="58" t="str">
        <f t="shared" si="4"/>
        <v/>
      </c>
    </row>
    <row r="519" spans="8:8">
      <c r="H519" s="58" t="str">
        <f t="shared" si="4"/>
        <v/>
      </c>
    </row>
    <row r="520" spans="8:8">
      <c r="H520" s="58" t="str">
        <f t="shared" si="4"/>
        <v/>
      </c>
    </row>
    <row r="521" spans="8:8">
      <c r="H521" s="58" t="str">
        <f t="shared" si="4"/>
        <v/>
      </c>
    </row>
    <row r="522" spans="8:8">
      <c r="H522" s="58" t="str">
        <f t="shared" si="4"/>
        <v/>
      </c>
    </row>
    <row r="523" spans="8:8">
      <c r="H523" s="58" t="str">
        <f t="shared" si="4"/>
        <v/>
      </c>
    </row>
    <row r="524" spans="8:8">
      <c r="H524" s="58" t="str">
        <f t="shared" si="4"/>
        <v/>
      </c>
    </row>
    <row r="525" spans="8:8">
      <c r="H525" s="58" t="str">
        <f t="shared" si="4"/>
        <v/>
      </c>
    </row>
    <row r="526" spans="8:8">
      <c r="H526" s="58" t="str">
        <f t="shared" si="4"/>
        <v/>
      </c>
    </row>
    <row r="527" spans="8:8">
      <c r="H527" s="58" t="str">
        <f t="shared" si="4"/>
        <v/>
      </c>
    </row>
    <row r="528" spans="8:8">
      <c r="H528" s="58" t="str">
        <f t="shared" si="4"/>
        <v/>
      </c>
    </row>
    <row r="529" spans="8:8">
      <c r="H529" s="58" t="str">
        <f t="shared" si="4"/>
        <v/>
      </c>
    </row>
    <row r="530" spans="8:8">
      <c r="H530" s="58" t="str">
        <f t="shared" si="4"/>
        <v/>
      </c>
    </row>
    <row r="531" spans="8:8">
      <c r="H531" s="58" t="str">
        <f t="shared" si="4"/>
        <v/>
      </c>
    </row>
    <row r="532" spans="8:8">
      <c r="H532" s="58" t="str">
        <f t="shared" si="4"/>
        <v/>
      </c>
    </row>
    <row r="533" spans="8:8">
      <c r="H533" s="58" t="str">
        <f t="shared" si="4"/>
        <v/>
      </c>
    </row>
    <row r="534" spans="8:8">
      <c r="H534" s="58" t="str">
        <f t="shared" si="4"/>
        <v/>
      </c>
    </row>
    <row r="535" spans="8:8">
      <c r="H535" s="58" t="str">
        <f t="shared" si="4"/>
        <v/>
      </c>
    </row>
    <row r="536" spans="8:8">
      <c r="H536" s="58" t="str">
        <f t="shared" si="4"/>
        <v/>
      </c>
    </row>
    <row r="537" spans="8:8">
      <c r="H537" s="58" t="str">
        <f t="shared" si="4"/>
        <v/>
      </c>
    </row>
    <row r="538" spans="8:8">
      <c r="H538" s="58" t="str">
        <f t="shared" si="4"/>
        <v/>
      </c>
    </row>
    <row r="539" spans="8:8">
      <c r="H539" s="58" t="str">
        <f t="shared" si="4"/>
        <v/>
      </c>
    </row>
    <row r="540" spans="8:8">
      <c r="H540" s="58" t="str">
        <f t="shared" si="4"/>
        <v/>
      </c>
    </row>
    <row r="541" spans="8:8">
      <c r="H541" s="58" t="str">
        <f t="shared" si="4"/>
        <v/>
      </c>
    </row>
    <row r="542" spans="8:8">
      <c r="H542" s="58" t="str">
        <f t="shared" si="4"/>
        <v/>
      </c>
    </row>
    <row r="543" spans="8:8">
      <c r="H543" s="58" t="str">
        <f t="shared" ref="H543:H606" si="5">+IF(G543="","",E543/F543)</f>
        <v/>
      </c>
    </row>
    <row r="544" spans="8:8">
      <c r="H544" s="58" t="str">
        <f t="shared" si="5"/>
        <v/>
      </c>
    </row>
    <row r="545" spans="8:8">
      <c r="H545" s="58" t="str">
        <f t="shared" si="5"/>
        <v/>
      </c>
    </row>
    <row r="546" spans="8:8">
      <c r="H546" s="58" t="str">
        <f t="shared" si="5"/>
        <v/>
      </c>
    </row>
    <row r="547" spans="8:8">
      <c r="H547" s="58" t="str">
        <f t="shared" si="5"/>
        <v/>
      </c>
    </row>
    <row r="548" spans="8:8">
      <c r="H548" s="58" t="str">
        <f t="shared" si="5"/>
        <v/>
      </c>
    </row>
    <row r="549" spans="8:8">
      <c r="H549" s="58" t="str">
        <f t="shared" si="5"/>
        <v/>
      </c>
    </row>
    <row r="550" spans="8:8">
      <c r="H550" s="58" t="str">
        <f t="shared" si="5"/>
        <v/>
      </c>
    </row>
    <row r="551" spans="8:8">
      <c r="H551" s="58" t="str">
        <f t="shared" si="5"/>
        <v/>
      </c>
    </row>
    <row r="552" spans="8:8">
      <c r="H552" s="58" t="str">
        <f t="shared" si="5"/>
        <v/>
      </c>
    </row>
    <row r="553" spans="8:8">
      <c r="H553" s="58" t="str">
        <f t="shared" si="5"/>
        <v/>
      </c>
    </row>
    <row r="554" spans="8:8">
      <c r="H554" s="58" t="str">
        <f t="shared" si="5"/>
        <v/>
      </c>
    </row>
    <row r="555" spans="8:8">
      <c r="H555" s="58" t="str">
        <f t="shared" si="5"/>
        <v/>
      </c>
    </row>
    <row r="556" spans="8:8">
      <c r="H556" s="58" t="str">
        <f t="shared" si="5"/>
        <v/>
      </c>
    </row>
    <row r="557" spans="8:8">
      <c r="H557" s="58" t="str">
        <f t="shared" si="5"/>
        <v/>
      </c>
    </row>
    <row r="558" spans="8:8">
      <c r="H558" s="58" t="str">
        <f t="shared" si="5"/>
        <v/>
      </c>
    </row>
    <row r="559" spans="8:8">
      <c r="H559" s="58" t="str">
        <f t="shared" si="5"/>
        <v/>
      </c>
    </row>
    <row r="560" spans="8:8">
      <c r="H560" s="58" t="str">
        <f t="shared" si="5"/>
        <v/>
      </c>
    </row>
    <row r="561" spans="8:8">
      <c r="H561" s="58" t="str">
        <f t="shared" si="5"/>
        <v/>
      </c>
    </row>
    <row r="562" spans="8:8">
      <c r="H562" s="58" t="str">
        <f t="shared" si="5"/>
        <v/>
      </c>
    </row>
    <row r="563" spans="8:8">
      <c r="H563" s="58" t="str">
        <f t="shared" si="5"/>
        <v/>
      </c>
    </row>
    <row r="564" spans="8:8">
      <c r="H564" s="58" t="str">
        <f t="shared" si="5"/>
        <v/>
      </c>
    </row>
    <row r="565" spans="8:8">
      <c r="H565" s="58" t="str">
        <f t="shared" si="5"/>
        <v/>
      </c>
    </row>
    <row r="566" spans="8:8">
      <c r="H566" s="58" t="str">
        <f t="shared" si="5"/>
        <v/>
      </c>
    </row>
    <row r="567" spans="8:8">
      <c r="H567" s="58" t="str">
        <f t="shared" si="5"/>
        <v/>
      </c>
    </row>
    <row r="568" spans="8:8">
      <c r="H568" s="58" t="str">
        <f t="shared" si="5"/>
        <v/>
      </c>
    </row>
    <row r="569" spans="8:8">
      <c r="H569" s="58" t="str">
        <f t="shared" si="5"/>
        <v/>
      </c>
    </row>
    <row r="570" spans="8:8">
      <c r="H570" s="58" t="str">
        <f t="shared" si="5"/>
        <v/>
      </c>
    </row>
    <row r="571" spans="8:8">
      <c r="H571" s="58" t="str">
        <f t="shared" si="5"/>
        <v/>
      </c>
    </row>
    <row r="572" spans="8:8">
      <c r="H572" s="58" t="str">
        <f t="shared" si="5"/>
        <v/>
      </c>
    </row>
    <row r="573" spans="8:8">
      <c r="H573" s="58" t="str">
        <f t="shared" si="5"/>
        <v/>
      </c>
    </row>
    <row r="574" spans="8:8">
      <c r="H574" s="58" t="str">
        <f t="shared" si="5"/>
        <v/>
      </c>
    </row>
    <row r="575" spans="8:8">
      <c r="H575" s="58" t="str">
        <f t="shared" si="5"/>
        <v/>
      </c>
    </row>
    <row r="576" spans="8:8">
      <c r="H576" s="58" t="str">
        <f t="shared" si="5"/>
        <v/>
      </c>
    </row>
    <row r="577" spans="8:8">
      <c r="H577" s="58" t="str">
        <f t="shared" si="5"/>
        <v/>
      </c>
    </row>
    <row r="578" spans="8:8">
      <c r="H578" s="58" t="str">
        <f t="shared" si="5"/>
        <v/>
      </c>
    </row>
    <row r="579" spans="8:8">
      <c r="H579" s="58" t="str">
        <f t="shared" si="5"/>
        <v/>
      </c>
    </row>
    <row r="580" spans="8:8">
      <c r="H580" s="58" t="str">
        <f t="shared" si="5"/>
        <v/>
      </c>
    </row>
    <row r="581" spans="8:8">
      <c r="H581" s="58" t="str">
        <f t="shared" si="5"/>
        <v/>
      </c>
    </row>
    <row r="582" spans="8:8">
      <c r="H582" s="58" t="str">
        <f t="shared" si="5"/>
        <v/>
      </c>
    </row>
    <row r="583" spans="8:8">
      <c r="H583" s="58" t="str">
        <f t="shared" si="5"/>
        <v/>
      </c>
    </row>
    <row r="584" spans="8:8">
      <c r="H584" s="58" t="str">
        <f t="shared" si="5"/>
        <v/>
      </c>
    </row>
    <row r="585" spans="8:8">
      <c r="H585" s="58" t="str">
        <f t="shared" si="5"/>
        <v/>
      </c>
    </row>
    <row r="586" spans="8:8">
      <c r="H586" s="58" t="str">
        <f t="shared" si="5"/>
        <v/>
      </c>
    </row>
    <row r="587" spans="8:8">
      <c r="H587" s="58" t="str">
        <f t="shared" si="5"/>
        <v/>
      </c>
    </row>
    <row r="588" spans="8:8">
      <c r="H588" s="58" t="str">
        <f t="shared" si="5"/>
        <v/>
      </c>
    </row>
    <row r="589" spans="8:8">
      <c r="H589" s="58" t="str">
        <f t="shared" si="5"/>
        <v/>
      </c>
    </row>
    <row r="590" spans="8:8">
      <c r="H590" s="58" t="str">
        <f t="shared" si="5"/>
        <v/>
      </c>
    </row>
    <row r="591" spans="8:8">
      <c r="H591" s="58" t="str">
        <f t="shared" si="5"/>
        <v/>
      </c>
    </row>
    <row r="592" spans="8:8">
      <c r="H592" s="58" t="str">
        <f t="shared" si="5"/>
        <v/>
      </c>
    </row>
    <row r="593" spans="8:8">
      <c r="H593" s="58" t="str">
        <f t="shared" si="5"/>
        <v/>
      </c>
    </row>
    <row r="594" spans="8:8">
      <c r="H594" s="58" t="str">
        <f t="shared" si="5"/>
        <v/>
      </c>
    </row>
    <row r="595" spans="8:8">
      <c r="H595" s="58" t="str">
        <f t="shared" si="5"/>
        <v/>
      </c>
    </row>
    <row r="596" spans="8:8">
      <c r="H596" s="58" t="str">
        <f t="shared" si="5"/>
        <v/>
      </c>
    </row>
    <row r="597" spans="8:8">
      <c r="H597" s="58" t="str">
        <f t="shared" si="5"/>
        <v/>
      </c>
    </row>
    <row r="598" spans="8:8">
      <c r="H598" s="58" t="str">
        <f t="shared" si="5"/>
        <v/>
      </c>
    </row>
    <row r="599" spans="8:8">
      <c r="H599" s="58" t="str">
        <f t="shared" si="5"/>
        <v/>
      </c>
    </row>
    <row r="600" spans="8:8">
      <c r="H600" s="58" t="str">
        <f t="shared" si="5"/>
        <v/>
      </c>
    </row>
    <row r="601" spans="8:8">
      <c r="H601" s="58" t="str">
        <f t="shared" si="5"/>
        <v/>
      </c>
    </row>
    <row r="602" spans="8:8">
      <c r="H602" s="58" t="str">
        <f t="shared" si="5"/>
        <v/>
      </c>
    </row>
    <row r="603" spans="8:8">
      <c r="H603" s="58" t="str">
        <f t="shared" si="5"/>
        <v/>
      </c>
    </row>
    <row r="604" spans="8:8">
      <c r="H604" s="58" t="str">
        <f t="shared" si="5"/>
        <v/>
      </c>
    </row>
    <row r="605" spans="8:8">
      <c r="H605" s="58" t="str">
        <f t="shared" si="5"/>
        <v/>
      </c>
    </row>
    <row r="606" spans="8:8">
      <c r="H606" s="58" t="str">
        <f t="shared" si="5"/>
        <v/>
      </c>
    </row>
    <row r="607" spans="8:8">
      <c r="H607" s="58" t="str">
        <f t="shared" ref="H607:H670" si="6">+IF(G607="","",E607/F607)</f>
        <v/>
      </c>
    </row>
    <row r="608" spans="8:8">
      <c r="H608" s="58" t="str">
        <f t="shared" si="6"/>
        <v/>
      </c>
    </row>
    <row r="609" spans="8:8">
      <c r="H609" s="58" t="str">
        <f t="shared" si="6"/>
        <v/>
      </c>
    </row>
    <row r="610" spans="8:8">
      <c r="H610" s="58" t="str">
        <f t="shared" si="6"/>
        <v/>
      </c>
    </row>
    <row r="611" spans="8:8">
      <c r="H611" s="58" t="str">
        <f t="shared" si="6"/>
        <v/>
      </c>
    </row>
    <row r="612" spans="8:8">
      <c r="H612" s="58" t="str">
        <f t="shared" si="6"/>
        <v/>
      </c>
    </row>
    <row r="613" spans="8:8">
      <c r="H613" s="58" t="str">
        <f t="shared" si="6"/>
        <v/>
      </c>
    </row>
    <row r="614" spans="8:8">
      <c r="H614" s="58" t="str">
        <f t="shared" si="6"/>
        <v/>
      </c>
    </row>
    <row r="615" spans="8:8">
      <c r="H615" s="58" t="str">
        <f t="shared" si="6"/>
        <v/>
      </c>
    </row>
    <row r="616" spans="8:8">
      <c r="H616" s="58" t="str">
        <f t="shared" si="6"/>
        <v/>
      </c>
    </row>
    <row r="617" spans="8:8">
      <c r="H617" s="58" t="str">
        <f t="shared" si="6"/>
        <v/>
      </c>
    </row>
    <row r="618" spans="8:8">
      <c r="H618" s="58" t="str">
        <f t="shared" si="6"/>
        <v/>
      </c>
    </row>
    <row r="619" spans="8:8">
      <c r="H619" s="58" t="str">
        <f t="shared" si="6"/>
        <v/>
      </c>
    </row>
    <row r="620" spans="8:8">
      <c r="H620" s="58" t="str">
        <f t="shared" si="6"/>
        <v/>
      </c>
    </row>
    <row r="621" spans="8:8">
      <c r="H621" s="58" t="str">
        <f t="shared" si="6"/>
        <v/>
      </c>
    </row>
    <row r="622" spans="8:8">
      <c r="H622" s="58" t="str">
        <f t="shared" si="6"/>
        <v/>
      </c>
    </row>
    <row r="623" spans="8:8">
      <c r="H623" s="58" t="str">
        <f t="shared" si="6"/>
        <v/>
      </c>
    </row>
    <row r="624" spans="8:8">
      <c r="H624" s="58" t="str">
        <f t="shared" si="6"/>
        <v/>
      </c>
    </row>
    <row r="625" spans="8:8">
      <c r="H625" s="58" t="str">
        <f t="shared" si="6"/>
        <v/>
      </c>
    </row>
    <row r="626" spans="8:8">
      <c r="H626" s="58" t="str">
        <f t="shared" si="6"/>
        <v/>
      </c>
    </row>
    <row r="627" spans="8:8">
      <c r="H627" s="58" t="str">
        <f t="shared" si="6"/>
        <v/>
      </c>
    </row>
    <row r="628" spans="8:8">
      <c r="H628" s="58" t="str">
        <f t="shared" si="6"/>
        <v/>
      </c>
    </row>
    <row r="629" spans="8:8">
      <c r="H629" s="58" t="str">
        <f t="shared" si="6"/>
        <v/>
      </c>
    </row>
    <row r="630" spans="8:8">
      <c r="H630" s="58" t="str">
        <f t="shared" si="6"/>
        <v/>
      </c>
    </row>
    <row r="631" spans="8:8">
      <c r="H631" s="58" t="str">
        <f t="shared" si="6"/>
        <v/>
      </c>
    </row>
    <row r="632" spans="8:8">
      <c r="H632" s="58" t="str">
        <f t="shared" si="6"/>
        <v/>
      </c>
    </row>
    <row r="633" spans="8:8">
      <c r="H633" s="58" t="str">
        <f t="shared" si="6"/>
        <v/>
      </c>
    </row>
    <row r="634" spans="8:8">
      <c r="H634" s="58" t="str">
        <f t="shared" si="6"/>
        <v/>
      </c>
    </row>
    <row r="635" spans="8:8">
      <c r="H635" s="58" t="str">
        <f t="shared" si="6"/>
        <v/>
      </c>
    </row>
    <row r="636" spans="8:8">
      <c r="H636" s="58" t="str">
        <f t="shared" si="6"/>
        <v/>
      </c>
    </row>
    <row r="637" spans="8:8">
      <c r="H637" s="58" t="str">
        <f t="shared" si="6"/>
        <v/>
      </c>
    </row>
    <row r="638" spans="8:8">
      <c r="H638" s="58" t="str">
        <f t="shared" si="6"/>
        <v/>
      </c>
    </row>
    <row r="639" spans="8:8">
      <c r="H639" s="58" t="str">
        <f t="shared" si="6"/>
        <v/>
      </c>
    </row>
    <row r="640" spans="8:8">
      <c r="H640" s="58" t="str">
        <f t="shared" si="6"/>
        <v/>
      </c>
    </row>
    <row r="641" spans="8:8">
      <c r="H641" s="58" t="str">
        <f t="shared" si="6"/>
        <v/>
      </c>
    </row>
    <row r="642" spans="8:8">
      <c r="H642" s="58" t="str">
        <f t="shared" si="6"/>
        <v/>
      </c>
    </row>
    <row r="643" spans="8:8">
      <c r="H643" s="58" t="str">
        <f t="shared" si="6"/>
        <v/>
      </c>
    </row>
    <row r="644" spans="8:8">
      <c r="H644" s="58" t="str">
        <f t="shared" si="6"/>
        <v/>
      </c>
    </row>
    <row r="645" spans="8:8">
      <c r="H645" s="58" t="str">
        <f t="shared" si="6"/>
        <v/>
      </c>
    </row>
    <row r="646" spans="8:8">
      <c r="H646" s="58" t="str">
        <f t="shared" si="6"/>
        <v/>
      </c>
    </row>
    <row r="647" spans="8:8">
      <c r="H647" s="58" t="str">
        <f t="shared" si="6"/>
        <v/>
      </c>
    </row>
    <row r="648" spans="8:8">
      <c r="H648" s="58" t="str">
        <f t="shared" si="6"/>
        <v/>
      </c>
    </row>
    <row r="649" spans="8:8">
      <c r="H649" s="58" t="str">
        <f t="shared" si="6"/>
        <v/>
      </c>
    </row>
    <row r="650" spans="8:8">
      <c r="H650" s="58" t="str">
        <f t="shared" si="6"/>
        <v/>
      </c>
    </row>
    <row r="651" spans="8:8">
      <c r="H651" s="58" t="str">
        <f t="shared" si="6"/>
        <v/>
      </c>
    </row>
    <row r="652" spans="8:8">
      <c r="H652" s="58" t="str">
        <f t="shared" si="6"/>
        <v/>
      </c>
    </row>
    <row r="653" spans="8:8">
      <c r="H653" s="58" t="str">
        <f t="shared" si="6"/>
        <v/>
      </c>
    </row>
    <row r="654" spans="8:8">
      <c r="H654" s="58" t="str">
        <f t="shared" si="6"/>
        <v/>
      </c>
    </row>
    <row r="655" spans="8:8">
      <c r="H655" s="58" t="str">
        <f t="shared" si="6"/>
        <v/>
      </c>
    </row>
    <row r="656" spans="8:8">
      <c r="H656" s="58" t="str">
        <f t="shared" si="6"/>
        <v/>
      </c>
    </row>
    <row r="657" spans="8:8">
      <c r="H657" s="58" t="str">
        <f t="shared" si="6"/>
        <v/>
      </c>
    </row>
    <row r="658" spans="8:8">
      <c r="H658" s="58" t="str">
        <f t="shared" si="6"/>
        <v/>
      </c>
    </row>
    <row r="659" spans="8:8">
      <c r="H659" s="58" t="str">
        <f t="shared" si="6"/>
        <v/>
      </c>
    </row>
    <row r="660" spans="8:8">
      <c r="H660" s="58" t="str">
        <f t="shared" si="6"/>
        <v/>
      </c>
    </row>
    <row r="661" spans="8:8">
      <c r="H661" s="58" t="str">
        <f t="shared" si="6"/>
        <v/>
      </c>
    </row>
    <row r="662" spans="8:8">
      <c r="H662" s="58" t="str">
        <f t="shared" si="6"/>
        <v/>
      </c>
    </row>
    <row r="663" spans="8:8">
      <c r="H663" s="58" t="str">
        <f t="shared" si="6"/>
        <v/>
      </c>
    </row>
    <row r="664" spans="8:8">
      <c r="H664" s="58" t="str">
        <f t="shared" si="6"/>
        <v/>
      </c>
    </row>
    <row r="665" spans="8:8">
      <c r="H665" s="58" t="str">
        <f t="shared" si="6"/>
        <v/>
      </c>
    </row>
    <row r="666" spans="8:8">
      <c r="H666" s="58" t="str">
        <f t="shared" si="6"/>
        <v/>
      </c>
    </row>
    <row r="667" spans="8:8">
      <c r="H667" s="58" t="str">
        <f t="shared" si="6"/>
        <v/>
      </c>
    </row>
    <row r="668" spans="8:8">
      <c r="H668" s="58" t="str">
        <f t="shared" si="6"/>
        <v/>
      </c>
    </row>
    <row r="669" spans="8:8">
      <c r="H669" s="58" t="str">
        <f t="shared" si="6"/>
        <v/>
      </c>
    </row>
    <row r="670" spans="8:8">
      <c r="H670" s="58" t="str">
        <f t="shared" si="6"/>
        <v/>
      </c>
    </row>
    <row r="671" spans="8:8">
      <c r="H671" s="58" t="str">
        <f t="shared" ref="H671:H734" si="7">+IF(G671="","",E671/F671)</f>
        <v/>
      </c>
    </row>
    <row r="672" spans="8:8">
      <c r="H672" s="58" t="str">
        <f t="shared" si="7"/>
        <v/>
      </c>
    </row>
    <row r="673" spans="8:8">
      <c r="H673" s="58" t="str">
        <f t="shared" si="7"/>
        <v/>
      </c>
    </row>
    <row r="674" spans="8:8">
      <c r="H674" s="58" t="str">
        <f t="shared" si="7"/>
        <v/>
      </c>
    </row>
    <row r="675" spans="8:8">
      <c r="H675" s="58" t="str">
        <f t="shared" si="7"/>
        <v/>
      </c>
    </row>
    <row r="676" spans="8:8">
      <c r="H676" s="58" t="str">
        <f t="shared" si="7"/>
        <v/>
      </c>
    </row>
    <row r="677" spans="8:8">
      <c r="H677" s="58" t="str">
        <f t="shared" si="7"/>
        <v/>
      </c>
    </row>
    <row r="678" spans="8:8">
      <c r="H678" s="58" t="str">
        <f t="shared" si="7"/>
        <v/>
      </c>
    </row>
    <row r="679" spans="8:8">
      <c r="H679" s="58" t="str">
        <f t="shared" si="7"/>
        <v/>
      </c>
    </row>
    <row r="680" spans="8:8">
      <c r="H680" s="58" t="str">
        <f t="shared" si="7"/>
        <v/>
      </c>
    </row>
    <row r="681" spans="8:8">
      <c r="H681" s="58" t="str">
        <f t="shared" si="7"/>
        <v/>
      </c>
    </row>
    <row r="682" spans="8:8">
      <c r="H682" s="58" t="str">
        <f t="shared" si="7"/>
        <v/>
      </c>
    </row>
    <row r="683" spans="8:8">
      <c r="H683" s="58" t="str">
        <f t="shared" si="7"/>
        <v/>
      </c>
    </row>
    <row r="684" spans="8:8">
      <c r="H684" s="58" t="str">
        <f t="shared" si="7"/>
        <v/>
      </c>
    </row>
    <row r="685" spans="8:8">
      <c r="H685" s="58" t="str">
        <f t="shared" si="7"/>
        <v/>
      </c>
    </row>
    <row r="686" spans="8:8">
      <c r="H686" s="58" t="str">
        <f t="shared" si="7"/>
        <v/>
      </c>
    </row>
    <row r="687" spans="8:8">
      <c r="H687" s="58" t="str">
        <f t="shared" si="7"/>
        <v/>
      </c>
    </row>
    <row r="688" spans="8:8">
      <c r="H688" s="58" t="str">
        <f t="shared" si="7"/>
        <v/>
      </c>
    </row>
    <row r="689" spans="8:8">
      <c r="H689" s="58" t="str">
        <f t="shared" si="7"/>
        <v/>
      </c>
    </row>
    <row r="690" spans="8:8">
      <c r="H690" s="58" t="str">
        <f t="shared" si="7"/>
        <v/>
      </c>
    </row>
    <row r="691" spans="8:8">
      <c r="H691" s="58" t="str">
        <f t="shared" si="7"/>
        <v/>
      </c>
    </row>
    <row r="692" spans="8:8">
      <c r="H692" s="58" t="str">
        <f t="shared" si="7"/>
        <v/>
      </c>
    </row>
    <row r="693" spans="8:8">
      <c r="H693" s="58" t="str">
        <f t="shared" si="7"/>
        <v/>
      </c>
    </row>
    <row r="694" spans="8:8">
      <c r="H694" s="58" t="str">
        <f t="shared" si="7"/>
        <v/>
      </c>
    </row>
    <row r="695" spans="8:8">
      <c r="H695" s="58" t="str">
        <f t="shared" si="7"/>
        <v/>
      </c>
    </row>
    <row r="696" spans="8:8">
      <c r="H696" s="58" t="str">
        <f t="shared" si="7"/>
        <v/>
      </c>
    </row>
    <row r="697" spans="8:8">
      <c r="H697" s="58" t="str">
        <f t="shared" si="7"/>
        <v/>
      </c>
    </row>
    <row r="698" spans="8:8">
      <c r="H698" s="58" t="str">
        <f t="shared" si="7"/>
        <v/>
      </c>
    </row>
    <row r="699" spans="8:8">
      <c r="H699" s="58" t="str">
        <f t="shared" si="7"/>
        <v/>
      </c>
    </row>
    <row r="700" spans="8:8">
      <c r="H700" s="58" t="str">
        <f t="shared" si="7"/>
        <v/>
      </c>
    </row>
    <row r="701" spans="8:8">
      <c r="H701" s="58" t="str">
        <f t="shared" si="7"/>
        <v/>
      </c>
    </row>
    <row r="702" spans="8:8">
      <c r="H702" s="58" t="str">
        <f t="shared" si="7"/>
        <v/>
      </c>
    </row>
    <row r="703" spans="8:8">
      <c r="H703" s="58" t="str">
        <f t="shared" si="7"/>
        <v/>
      </c>
    </row>
    <row r="704" spans="8:8">
      <c r="H704" s="58" t="str">
        <f t="shared" si="7"/>
        <v/>
      </c>
    </row>
    <row r="705" spans="8:8">
      <c r="H705" s="58" t="str">
        <f t="shared" si="7"/>
        <v/>
      </c>
    </row>
    <row r="706" spans="8:8">
      <c r="H706" s="58" t="str">
        <f t="shared" si="7"/>
        <v/>
      </c>
    </row>
    <row r="707" spans="8:8">
      <c r="H707" s="58" t="str">
        <f t="shared" si="7"/>
        <v/>
      </c>
    </row>
    <row r="708" spans="8:8">
      <c r="H708" s="58" t="str">
        <f t="shared" si="7"/>
        <v/>
      </c>
    </row>
    <row r="709" spans="8:8">
      <c r="H709" s="58" t="str">
        <f t="shared" si="7"/>
        <v/>
      </c>
    </row>
    <row r="710" spans="8:8">
      <c r="H710" s="58" t="str">
        <f t="shared" si="7"/>
        <v/>
      </c>
    </row>
    <row r="711" spans="8:8">
      <c r="H711" s="58" t="str">
        <f t="shared" si="7"/>
        <v/>
      </c>
    </row>
    <row r="712" spans="8:8">
      <c r="H712" s="58" t="str">
        <f t="shared" si="7"/>
        <v/>
      </c>
    </row>
    <row r="713" spans="8:8">
      <c r="H713" s="58" t="str">
        <f t="shared" si="7"/>
        <v/>
      </c>
    </row>
    <row r="714" spans="8:8">
      <c r="H714" s="58" t="str">
        <f t="shared" si="7"/>
        <v/>
      </c>
    </row>
    <row r="715" spans="8:8">
      <c r="H715" s="58" t="str">
        <f t="shared" si="7"/>
        <v/>
      </c>
    </row>
    <row r="716" spans="8:8">
      <c r="H716" s="58" t="str">
        <f t="shared" si="7"/>
        <v/>
      </c>
    </row>
    <row r="717" spans="8:8">
      <c r="H717" s="58" t="str">
        <f t="shared" si="7"/>
        <v/>
      </c>
    </row>
    <row r="718" spans="8:8">
      <c r="H718" s="58" t="str">
        <f t="shared" si="7"/>
        <v/>
      </c>
    </row>
    <row r="719" spans="8:8">
      <c r="H719" s="58" t="str">
        <f t="shared" si="7"/>
        <v/>
      </c>
    </row>
    <row r="720" spans="8:8">
      <c r="H720" s="58" t="str">
        <f t="shared" si="7"/>
        <v/>
      </c>
    </row>
    <row r="721" spans="8:8">
      <c r="H721" s="58" t="str">
        <f t="shared" si="7"/>
        <v/>
      </c>
    </row>
    <row r="722" spans="8:8">
      <c r="H722" s="58" t="str">
        <f t="shared" si="7"/>
        <v/>
      </c>
    </row>
    <row r="723" spans="8:8">
      <c r="H723" s="58" t="str">
        <f t="shared" si="7"/>
        <v/>
      </c>
    </row>
    <row r="724" spans="8:8">
      <c r="H724" s="58" t="str">
        <f t="shared" si="7"/>
        <v/>
      </c>
    </row>
    <row r="725" spans="8:8">
      <c r="H725" s="58" t="str">
        <f t="shared" si="7"/>
        <v/>
      </c>
    </row>
    <row r="726" spans="8:8">
      <c r="H726" s="58" t="str">
        <f t="shared" si="7"/>
        <v/>
      </c>
    </row>
    <row r="727" spans="8:8">
      <c r="H727" s="58" t="str">
        <f t="shared" si="7"/>
        <v/>
      </c>
    </row>
    <row r="728" spans="8:8">
      <c r="H728" s="58" t="str">
        <f t="shared" si="7"/>
        <v/>
      </c>
    </row>
    <row r="729" spans="8:8">
      <c r="H729" s="58" t="str">
        <f t="shared" si="7"/>
        <v/>
      </c>
    </row>
    <row r="730" spans="8:8">
      <c r="H730" s="58" t="str">
        <f t="shared" si="7"/>
        <v/>
      </c>
    </row>
    <row r="731" spans="8:8">
      <c r="H731" s="58" t="str">
        <f t="shared" si="7"/>
        <v/>
      </c>
    </row>
    <row r="732" spans="8:8">
      <c r="H732" s="58" t="str">
        <f t="shared" si="7"/>
        <v/>
      </c>
    </row>
    <row r="733" spans="8:8">
      <c r="H733" s="58" t="str">
        <f t="shared" si="7"/>
        <v/>
      </c>
    </row>
    <row r="734" spans="8:8">
      <c r="H734" s="58" t="str">
        <f t="shared" si="7"/>
        <v/>
      </c>
    </row>
    <row r="735" spans="8:8">
      <c r="H735" s="58" t="str">
        <f t="shared" ref="H735:H798" si="8">+IF(G735="","",E735/F735)</f>
        <v/>
      </c>
    </row>
    <row r="736" spans="8:8">
      <c r="H736" s="58" t="str">
        <f t="shared" si="8"/>
        <v/>
      </c>
    </row>
    <row r="737" spans="8:8">
      <c r="H737" s="58" t="str">
        <f t="shared" si="8"/>
        <v/>
      </c>
    </row>
    <row r="738" spans="8:8">
      <c r="H738" s="58" t="str">
        <f t="shared" si="8"/>
        <v/>
      </c>
    </row>
    <row r="739" spans="8:8">
      <c r="H739" s="58" t="str">
        <f t="shared" si="8"/>
        <v/>
      </c>
    </row>
    <row r="740" spans="8:8">
      <c r="H740" s="58" t="str">
        <f t="shared" si="8"/>
        <v/>
      </c>
    </row>
    <row r="741" spans="8:8">
      <c r="H741" s="58" t="str">
        <f t="shared" si="8"/>
        <v/>
      </c>
    </row>
    <row r="742" spans="8:8">
      <c r="H742" s="58" t="str">
        <f t="shared" si="8"/>
        <v/>
      </c>
    </row>
    <row r="743" spans="8:8">
      <c r="H743" s="58" t="str">
        <f t="shared" si="8"/>
        <v/>
      </c>
    </row>
    <row r="744" spans="8:8">
      <c r="H744" s="58" t="str">
        <f t="shared" si="8"/>
        <v/>
      </c>
    </row>
    <row r="745" spans="8:8">
      <c r="H745" s="58" t="str">
        <f t="shared" si="8"/>
        <v/>
      </c>
    </row>
    <row r="746" spans="8:8">
      <c r="H746" s="58" t="str">
        <f t="shared" si="8"/>
        <v/>
      </c>
    </row>
    <row r="747" spans="8:8">
      <c r="H747" s="58" t="str">
        <f t="shared" si="8"/>
        <v/>
      </c>
    </row>
    <row r="748" spans="8:8">
      <c r="H748" s="58" t="str">
        <f t="shared" si="8"/>
        <v/>
      </c>
    </row>
    <row r="749" spans="8:8">
      <c r="H749" s="58" t="str">
        <f t="shared" si="8"/>
        <v/>
      </c>
    </row>
    <row r="750" spans="8:8">
      <c r="H750" s="58" t="str">
        <f t="shared" si="8"/>
        <v/>
      </c>
    </row>
    <row r="751" spans="8:8">
      <c r="H751" s="58" t="str">
        <f t="shared" si="8"/>
        <v/>
      </c>
    </row>
    <row r="752" spans="8:8">
      <c r="H752" s="58" t="str">
        <f t="shared" si="8"/>
        <v/>
      </c>
    </row>
    <row r="753" spans="8:8">
      <c r="H753" s="58" t="str">
        <f t="shared" si="8"/>
        <v/>
      </c>
    </row>
    <row r="754" spans="8:8">
      <c r="H754" s="58" t="str">
        <f t="shared" si="8"/>
        <v/>
      </c>
    </row>
    <row r="755" spans="8:8">
      <c r="H755" s="58" t="str">
        <f t="shared" si="8"/>
        <v/>
      </c>
    </row>
    <row r="756" spans="8:8">
      <c r="H756" s="58" t="str">
        <f t="shared" si="8"/>
        <v/>
      </c>
    </row>
    <row r="757" spans="8:8">
      <c r="H757" s="58" t="str">
        <f t="shared" si="8"/>
        <v/>
      </c>
    </row>
    <row r="758" spans="8:8">
      <c r="H758" s="58" t="str">
        <f t="shared" si="8"/>
        <v/>
      </c>
    </row>
    <row r="759" spans="8:8">
      <c r="H759" s="58" t="str">
        <f t="shared" si="8"/>
        <v/>
      </c>
    </row>
    <row r="760" spans="8:8">
      <c r="H760" s="58" t="str">
        <f t="shared" si="8"/>
        <v/>
      </c>
    </row>
    <row r="761" spans="8:8">
      <c r="H761" s="58" t="str">
        <f t="shared" si="8"/>
        <v/>
      </c>
    </row>
    <row r="762" spans="8:8">
      <c r="H762" s="58" t="str">
        <f t="shared" si="8"/>
        <v/>
      </c>
    </row>
    <row r="763" spans="8:8">
      <c r="H763" s="58" t="str">
        <f t="shared" si="8"/>
        <v/>
      </c>
    </row>
    <row r="764" spans="8:8">
      <c r="H764" s="58" t="str">
        <f t="shared" si="8"/>
        <v/>
      </c>
    </row>
    <row r="765" spans="8:8">
      <c r="H765" s="58" t="str">
        <f t="shared" si="8"/>
        <v/>
      </c>
    </row>
    <row r="766" spans="8:8">
      <c r="H766" s="58" t="str">
        <f t="shared" si="8"/>
        <v/>
      </c>
    </row>
    <row r="767" spans="8:8">
      <c r="H767" s="58" t="str">
        <f t="shared" si="8"/>
        <v/>
      </c>
    </row>
    <row r="768" spans="8:8">
      <c r="H768" s="58" t="str">
        <f t="shared" si="8"/>
        <v/>
      </c>
    </row>
    <row r="769" spans="8:8">
      <c r="H769" s="58" t="str">
        <f t="shared" si="8"/>
        <v/>
      </c>
    </row>
    <row r="770" spans="8:8">
      <c r="H770" s="58" t="str">
        <f t="shared" si="8"/>
        <v/>
      </c>
    </row>
    <row r="771" spans="8:8">
      <c r="H771" s="58" t="str">
        <f t="shared" si="8"/>
        <v/>
      </c>
    </row>
    <row r="772" spans="8:8">
      <c r="H772" s="58" t="str">
        <f t="shared" si="8"/>
        <v/>
      </c>
    </row>
    <row r="773" spans="8:8">
      <c r="H773" s="58" t="str">
        <f t="shared" si="8"/>
        <v/>
      </c>
    </row>
    <row r="774" spans="8:8">
      <c r="H774" s="58" t="str">
        <f t="shared" si="8"/>
        <v/>
      </c>
    </row>
    <row r="775" spans="8:8">
      <c r="H775" s="58" t="str">
        <f t="shared" si="8"/>
        <v/>
      </c>
    </row>
    <row r="776" spans="8:8">
      <c r="H776" s="58" t="str">
        <f t="shared" si="8"/>
        <v/>
      </c>
    </row>
    <row r="777" spans="8:8">
      <c r="H777" s="58" t="str">
        <f t="shared" si="8"/>
        <v/>
      </c>
    </row>
    <row r="778" spans="8:8">
      <c r="H778" s="58" t="str">
        <f t="shared" si="8"/>
        <v/>
      </c>
    </row>
    <row r="779" spans="8:8">
      <c r="H779" s="58" t="str">
        <f t="shared" si="8"/>
        <v/>
      </c>
    </row>
    <row r="780" spans="8:8">
      <c r="H780" s="58" t="str">
        <f t="shared" si="8"/>
        <v/>
      </c>
    </row>
    <row r="781" spans="8:8">
      <c r="H781" s="58" t="str">
        <f t="shared" si="8"/>
        <v/>
      </c>
    </row>
    <row r="782" spans="8:8">
      <c r="H782" s="58" t="str">
        <f t="shared" si="8"/>
        <v/>
      </c>
    </row>
    <row r="783" spans="8:8">
      <c r="H783" s="58" t="str">
        <f t="shared" si="8"/>
        <v/>
      </c>
    </row>
    <row r="784" spans="8:8">
      <c r="H784" s="58" t="str">
        <f t="shared" si="8"/>
        <v/>
      </c>
    </row>
    <row r="785" spans="8:8">
      <c r="H785" s="58" t="str">
        <f t="shared" si="8"/>
        <v/>
      </c>
    </row>
    <row r="786" spans="8:8">
      <c r="H786" s="58" t="str">
        <f t="shared" si="8"/>
        <v/>
      </c>
    </row>
    <row r="787" spans="8:8">
      <c r="H787" s="58" t="str">
        <f t="shared" si="8"/>
        <v/>
      </c>
    </row>
    <row r="788" spans="8:8">
      <c r="H788" s="58" t="str">
        <f t="shared" si="8"/>
        <v/>
      </c>
    </row>
    <row r="789" spans="8:8">
      <c r="H789" s="58" t="str">
        <f t="shared" si="8"/>
        <v/>
      </c>
    </row>
    <row r="790" spans="8:8">
      <c r="H790" s="58" t="str">
        <f t="shared" si="8"/>
        <v/>
      </c>
    </row>
    <row r="791" spans="8:8">
      <c r="H791" s="58" t="str">
        <f t="shared" si="8"/>
        <v/>
      </c>
    </row>
    <row r="792" spans="8:8">
      <c r="H792" s="58" t="str">
        <f t="shared" si="8"/>
        <v/>
      </c>
    </row>
    <row r="793" spans="8:8">
      <c r="H793" s="58" t="str">
        <f t="shared" si="8"/>
        <v/>
      </c>
    </row>
    <row r="794" spans="8:8">
      <c r="H794" s="58" t="str">
        <f t="shared" si="8"/>
        <v/>
      </c>
    </row>
    <row r="795" spans="8:8">
      <c r="H795" s="58" t="str">
        <f t="shared" si="8"/>
        <v/>
      </c>
    </row>
    <row r="796" spans="8:8">
      <c r="H796" s="58" t="str">
        <f t="shared" si="8"/>
        <v/>
      </c>
    </row>
    <row r="797" spans="8:8">
      <c r="H797" s="58" t="str">
        <f t="shared" si="8"/>
        <v/>
      </c>
    </row>
    <row r="798" spans="8:8">
      <c r="H798" s="58" t="str">
        <f t="shared" si="8"/>
        <v/>
      </c>
    </row>
    <row r="799" spans="8:8">
      <c r="H799" s="58" t="str">
        <f t="shared" ref="H799:H862" si="9">+IF(G799="","",E799/F799)</f>
        <v/>
      </c>
    </row>
    <row r="800" spans="8:8">
      <c r="H800" s="58" t="str">
        <f t="shared" si="9"/>
        <v/>
      </c>
    </row>
    <row r="801" spans="8:8">
      <c r="H801" s="58" t="str">
        <f t="shared" si="9"/>
        <v/>
      </c>
    </row>
    <row r="802" spans="8:8">
      <c r="H802" s="58" t="str">
        <f t="shared" si="9"/>
        <v/>
      </c>
    </row>
    <row r="803" spans="8:8">
      <c r="H803" s="58" t="str">
        <f t="shared" si="9"/>
        <v/>
      </c>
    </row>
    <row r="804" spans="8:8">
      <c r="H804" s="58" t="str">
        <f t="shared" si="9"/>
        <v/>
      </c>
    </row>
    <row r="805" spans="8:8">
      <c r="H805" s="58" t="str">
        <f t="shared" si="9"/>
        <v/>
      </c>
    </row>
    <row r="806" spans="8:8">
      <c r="H806" s="58" t="str">
        <f t="shared" si="9"/>
        <v/>
      </c>
    </row>
    <row r="807" spans="8:8">
      <c r="H807" s="58" t="str">
        <f t="shared" si="9"/>
        <v/>
      </c>
    </row>
    <row r="808" spans="8:8">
      <c r="H808" s="58" t="str">
        <f t="shared" si="9"/>
        <v/>
      </c>
    </row>
    <row r="809" spans="8:8">
      <c r="H809" s="58" t="str">
        <f t="shared" si="9"/>
        <v/>
      </c>
    </row>
    <row r="810" spans="8:8">
      <c r="H810" s="58" t="str">
        <f t="shared" si="9"/>
        <v/>
      </c>
    </row>
    <row r="811" spans="8:8">
      <c r="H811" s="58" t="str">
        <f t="shared" si="9"/>
        <v/>
      </c>
    </row>
    <row r="812" spans="8:8">
      <c r="H812" s="58" t="str">
        <f t="shared" si="9"/>
        <v/>
      </c>
    </row>
    <row r="813" spans="8:8">
      <c r="H813" s="58" t="str">
        <f t="shared" si="9"/>
        <v/>
      </c>
    </row>
    <row r="814" spans="8:8">
      <c r="H814" s="58" t="str">
        <f t="shared" si="9"/>
        <v/>
      </c>
    </row>
    <row r="815" spans="8:8">
      <c r="H815" s="58" t="str">
        <f t="shared" si="9"/>
        <v/>
      </c>
    </row>
    <row r="816" spans="8:8">
      <c r="H816" s="58" t="str">
        <f t="shared" si="9"/>
        <v/>
      </c>
    </row>
    <row r="817" spans="8:8">
      <c r="H817" s="58" t="str">
        <f t="shared" si="9"/>
        <v/>
      </c>
    </row>
    <row r="818" spans="8:8">
      <c r="H818" s="58" t="str">
        <f t="shared" si="9"/>
        <v/>
      </c>
    </row>
    <row r="819" spans="8:8">
      <c r="H819" s="58" t="str">
        <f t="shared" si="9"/>
        <v/>
      </c>
    </row>
    <row r="820" spans="8:8">
      <c r="H820" s="58" t="str">
        <f t="shared" si="9"/>
        <v/>
      </c>
    </row>
    <row r="821" spans="8:8">
      <c r="H821" s="58" t="str">
        <f t="shared" si="9"/>
        <v/>
      </c>
    </row>
    <row r="822" spans="8:8">
      <c r="H822" s="58" t="str">
        <f t="shared" si="9"/>
        <v/>
      </c>
    </row>
    <row r="823" spans="8:8">
      <c r="H823" s="58" t="str">
        <f t="shared" si="9"/>
        <v/>
      </c>
    </row>
    <row r="824" spans="8:8">
      <c r="H824" s="58" t="str">
        <f t="shared" si="9"/>
        <v/>
      </c>
    </row>
    <row r="825" spans="8:8">
      <c r="H825" s="58" t="str">
        <f t="shared" si="9"/>
        <v/>
      </c>
    </row>
    <row r="826" spans="8:8">
      <c r="H826" s="58" t="str">
        <f t="shared" si="9"/>
        <v/>
      </c>
    </row>
    <row r="827" spans="8:8">
      <c r="H827" s="58" t="str">
        <f t="shared" si="9"/>
        <v/>
      </c>
    </row>
    <row r="828" spans="8:8">
      <c r="H828" s="58" t="str">
        <f t="shared" si="9"/>
        <v/>
      </c>
    </row>
    <row r="829" spans="8:8">
      <c r="H829" s="58" t="str">
        <f t="shared" si="9"/>
        <v/>
      </c>
    </row>
    <row r="830" spans="8:8">
      <c r="H830" s="58" t="str">
        <f t="shared" si="9"/>
        <v/>
      </c>
    </row>
    <row r="831" spans="8:8">
      <c r="H831" s="58" t="str">
        <f t="shared" si="9"/>
        <v/>
      </c>
    </row>
    <row r="832" spans="8:8">
      <c r="H832" s="58" t="str">
        <f t="shared" si="9"/>
        <v/>
      </c>
    </row>
    <row r="833" spans="8:8">
      <c r="H833" s="58" t="str">
        <f t="shared" si="9"/>
        <v/>
      </c>
    </row>
    <row r="834" spans="8:8">
      <c r="H834" s="58" t="str">
        <f t="shared" si="9"/>
        <v/>
      </c>
    </row>
    <row r="835" spans="8:8">
      <c r="H835" s="58" t="str">
        <f t="shared" si="9"/>
        <v/>
      </c>
    </row>
    <row r="836" spans="8:8">
      <c r="H836" s="58" t="str">
        <f t="shared" si="9"/>
        <v/>
      </c>
    </row>
    <row r="837" spans="8:8">
      <c r="H837" s="58" t="str">
        <f t="shared" si="9"/>
        <v/>
      </c>
    </row>
    <row r="838" spans="8:8">
      <c r="H838" s="58" t="str">
        <f t="shared" si="9"/>
        <v/>
      </c>
    </row>
    <row r="839" spans="8:8">
      <c r="H839" s="58" t="str">
        <f t="shared" si="9"/>
        <v/>
      </c>
    </row>
    <row r="840" spans="8:8">
      <c r="H840" s="58" t="str">
        <f t="shared" si="9"/>
        <v/>
      </c>
    </row>
    <row r="841" spans="8:8">
      <c r="H841" s="58" t="str">
        <f t="shared" si="9"/>
        <v/>
      </c>
    </row>
    <row r="842" spans="8:8">
      <c r="H842" s="58" t="str">
        <f t="shared" si="9"/>
        <v/>
      </c>
    </row>
    <row r="843" spans="8:8">
      <c r="H843" s="58" t="str">
        <f t="shared" si="9"/>
        <v/>
      </c>
    </row>
    <row r="844" spans="8:8">
      <c r="H844" s="58" t="str">
        <f t="shared" si="9"/>
        <v/>
      </c>
    </row>
    <row r="845" spans="8:8">
      <c r="H845" s="58" t="str">
        <f t="shared" si="9"/>
        <v/>
      </c>
    </row>
    <row r="846" spans="8:8">
      <c r="H846" s="58" t="str">
        <f t="shared" si="9"/>
        <v/>
      </c>
    </row>
    <row r="847" spans="8:8">
      <c r="H847" s="58" t="str">
        <f t="shared" si="9"/>
        <v/>
      </c>
    </row>
    <row r="848" spans="8:8">
      <c r="H848" s="58" t="str">
        <f t="shared" si="9"/>
        <v/>
      </c>
    </row>
    <row r="849" spans="8:8">
      <c r="H849" s="58" t="str">
        <f t="shared" si="9"/>
        <v/>
      </c>
    </row>
    <row r="850" spans="8:8">
      <c r="H850" s="58" t="str">
        <f t="shared" si="9"/>
        <v/>
      </c>
    </row>
    <row r="851" spans="8:8">
      <c r="H851" s="58" t="str">
        <f t="shared" si="9"/>
        <v/>
      </c>
    </row>
    <row r="852" spans="8:8">
      <c r="H852" s="58" t="str">
        <f t="shared" si="9"/>
        <v/>
      </c>
    </row>
    <row r="853" spans="8:8">
      <c r="H853" s="58" t="str">
        <f t="shared" si="9"/>
        <v/>
      </c>
    </row>
    <row r="854" spans="8:8">
      <c r="H854" s="58" t="str">
        <f t="shared" si="9"/>
        <v/>
      </c>
    </row>
    <row r="855" spans="8:8">
      <c r="H855" s="58" t="str">
        <f t="shared" si="9"/>
        <v/>
      </c>
    </row>
    <row r="856" spans="8:8">
      <c r="H856" s="58" t="str">
        <f t="shared" si="9"/>
        <v/>
      </c>
    </row>
    <row r="857" spans="8:8">
      <c r="H857" s="58" t="str">
        <f t="shared" si="9"/>
        <v/>
      </c>
    </row>
    <row r="858" spans="8:8">
      <c r="H858" s="58" t="str">
        <f t="shared" si="9"/>
        <v/>
      </c>
    </row>
    <row r="859" spans="8:8">
      <c r="H859" s="58" t="str">
        <f t="shared" si="9"/>
        <v/>
      </c>
    </row>
    <row r="860" spans="8:8">
      <c r="H860" s="58" t="str">
        <f t="shared" si="9"/>
        <v/>
      </c>
    </row>
    <row r="861" spans="8:8">
      <c r="H861" s="58" t="str">
        <f t="shared" si="9"/>
        <v/>
      </c>
    </row>
    <row r="862" spans="8:8">
      <c r="H862" s="58" t="str">
        <f t="shared" si="9"/>
        <v/>
      </c>
    </row>
    <row r="863" spans="8:8">
      <c r="H863" s="58" t="str">
        <f t="shared" ref="H863:H926" si="10">+IF(G863="","",E863/F863)</f>
        <v/>
      </c>
    </row>
    <row r="864" spans="8:8">
      <c r="H864" s="58" t="str">
        <f t="shared" si="10"/>
        <v/>
      </c>
    </row>
    <row r="865" spans="8:8">
      <c r="H865" s="58" t="str">
        <f t="shared" si="10"/>
        <v/>
      </c>
    </row>
    <row r="866" spans="8:8">
      <c r="H866" s="58" t="str">
        <f t="shared" si="10"/>
        <v/>
      </c>
    </row>
    <row r="867" spans="8:8">
      <c r="H867" s="58" t="str">
        <f t="shared" si="10"/>
        <v/>
      </c>
    </row>
    <row r="868" spans="8:8">
      <c r="H868" s="58" t="str">
        <f t="shared" si="10"/>
        <v/>
      </c>
    </row>
    <row r="869" spans="8:8">
      <c r="H869" s="58" t="str">
        <f t="shared" si="10"/>
        <v/>
      </c>
    </row>
    <row r="870" spans="8:8">
      <c r="H870" s="58" t="str">
        <f t="shared" si="10"/>
        <v/>
      </c>
    </row>
    <row r="871" spans="8:8">
      <c r="H871" s="58" t="str">
        <f t="shared" si="10"/>
        <v/>
      </c>
    </row>
    <row r="872" spans="8:8">
      <c r="H872" s="58" t="str">
        <f t="shared" si="10"/>
        <v/>
      </c>
    </row>
    <row r="873" spans="8:8">
      <c r="H873" s="58" t="str">
        <f t="shared" si="10"/>
        <v/>
      </c>
    </row>
    <row r="874" spans="8:8">
      <c r="H874" s="58" t="str">
        <f t="shared" si="10"/>
        <v/>
      </c>
    </row>
    <row r="875" spans="8:8">
      <c r="H875" s="58" t="str">
        <f t="shared" si="10"/>
        <v/>
      </c>
    </row>
    <row r="876" spans="8:8">
      <c r="H876" s="58" t="str">
        <f t="shared" si="10"/>
        <v/>
      </c>
    </row>
    <row r="877" spans="8:8">
      <c r="H877" s="58" t="str">
        <f t="shared" si="10"/>
        <v/>
      </c>
    </row>
    <row r="878" spans="8:8">
      <c r="H878" s="58" t="str">
        <f t="shared" si="10"/>
        <v/>
      </c>
    </row>
    <row r="879" spans="8:8">
      <c r="H879" s="58" t="str">
        <f t="shared" si="10"/>
        <v/>
      </c>
    </row>
    <row r="880" spans="8:8">
      <c r="H880" s="58" t="str">
        <f t="shared" si="10"/>
        <v/>
      </c>
    </row>
    <row r="881" spans="8:8">
      <c r="H881" s="58" t="str">
        <f t="shared" si="10"/>
        <v/>
      </c>
    </row>
    <row r="882" spans="8:8">
      <c r="H882" s="58" t="str">
        <f t="shared" si="10"/>
        <v/>
      </c>
    </row>
    <row r="883" spans="8:8">
      <c r="H883" s="58" t="str">
        <f t="shared" si="10"/>
        <v/>
      </c>
    </row>
    <row r="884" spans="8:8">
      <c r="H884" s="58" t="str">
        <f t="shared" si="10"/>
        <v/>
      </c>
    </row>
    <row r="885" spans="8:8">
      <c r="H885" s="58" t="str">
        <f t="shared" si="10"/>
        <v/>
      </c>
    </row>
    <row r="886" spans="8:8">
      <c r="H886" s="58" t="str">
        <f t="shared" si="10"/>
        <v/>
      </c>
    </row>
    <row r="887" spans="8:8">
      <c r="H887" s="58" t="str">
        <f t="shared" si="10"/>
        <v/>
      </c>
    </row>
    <row r="888" spans="8:8">
      <c r="H888" s="58" t="str">
        <f t="shared" si="10"/>
        <v/>
      </c>
    </row>
    <row r="889" spans="8:8">
      <c r="H889" s="58" t="str">
        <f t="shared" si="10"/>
        <v/>
      </c>
    </row>
    <row r="890" spans="8:8">
      <c r="H890" s="58" t="str">
        <f t="shared" si="10"/>
        <v/>
      </c>
    </row>
    <row r="891" spans="8:8">
      <c r="H891" s="58" t="str">
        <f t="shared" si="10"/>
        <v/>
      </c>
    </row>
    <row r="892" spans="8:8">
      <c r="H892" s="58" t="str">
        <f t="shared" si="10"/>
        <v/>
      </c>
    </row>
    <row r="893" spans="8:8">
      <c r="H893" s="58" t="str">
        <f t="shared" si="10"/>
        <v/>
      </c>
    </row>
    <row r="894" spans="8:8">
      <c r="H894" s="58" t="str">
        <f t="shared" si="10"/>
        <v/>
      </c>
    </row>
    <row r="895" spans="8:8">
      <c r="H895" s="58" t="str">
        <f t="shared" si="10"/>
        <v/>
      </c>
    </row>
    <row r="896" spans="8:8">
      <c r="H896" s="58" t="str">
        <f t="shared" si="10"/>
        <v/>
      </c>
    </row>
    <row r="897" spans="8:8">
      <c r="H897" s="58" t="str">
        <f t="shared" si="10"/>
        <v/>
      </c>
    </row>
    <row r="898" spans="8:8">
      <c r="H898" s="58" t="str">
        <f t="shared" si="10"/>
        <v/>
      </c>
    </row>
    <row r="899" spans="8:8">
      <c r="H899" s="58" t="str">
        <f t="shared" si="10"/>
        <v/>
      </c>
    </row>
    <row r="900" spans="8:8">
      <c r="H900" s="58" t="str">
        <f t="shared" si="10"/>
        <v/>
      </c>
    </row>
    <row r="901" spans="8:8">
      <c r="H901" s="58" t="str">
        <f t="shared" si="10"/>
        <v/>
      </c>
    </row>
    <row r="902" spans="8:8">
      <c r="H902" s="58" t="str">
        <f t="shared" si="10"/>
        <v/>
      </c>
    </row>
    <row r="903" spans="8:8">
      <c r="H903" s="58" t="str">
        <f t="shared" si="10"/>
        <v/>
      </c>
    </row>
    <row r="904" spans="8:8">
      <c r="H904" s="58" t="str">
        <f t="shared" si="10"/>
        <v/>
      </c>
    </row>
    <row r="905" spans="8:8">
      <c r="H905" s="58" t="str">
        <f t="shared" si="10"/>
        <v/>
      </c>
    </row>
    <row r="906" spans="8:8">
      <c r="H906" s="58" t="str">
        <f t="shared" si="10"/>
        <v/>
      </c>
    </row>
    <row r="907" spans="8:8">
      <c r="H907" s="58" t="str">
        <f t="shared" si="10"/>
        <v/>
      </c>
    </row>
    <row r="908" spans="8:8">
      <c r="H908" s="58" t="str">
        <f t="shared" si="10"/>
        <v/>
      </c>
    </row>
    <row r="909" spans="8:8">
      <c r="H909" s="58" t="str">
        <f t="shared" si="10"/>
        <v/>
      </c>
    </row>
    <row r="910" spans="8:8">
      <c r="H910" s="58" t="str">
        <f t="shared" si="10"/>
        <v/>
      </c>
    </row>
    <row r="911" spans="8:8">
      <c r="H911" s="58" t="str">
        <f t="shared" si="10"/>
        <v/>
      </c>
    </row>
    <row r="912" spans="8:8">
      <c r="H912" s="58" t="str">
        <f t="shared" si="10"/>
        <v/>
      </c>
    </row>
    <row r="913" spans="8:8">
      <c r="H913" s="58" t="str">
        <f t="shared" si="10"/>
        <v/>
      </c>
    </row>
    <row r="914" spans="8:8">
      <c r="H914" s="58" t="str">
        <f t="shared" si="10"/>
        <v/>
      </c>
    </row>
    <row r="915" spans="8:8">
      <c r="H915" s="58" t="str">
        <f t="shared" si="10"/>
        <v/>
      </c>
    </row>
    <row r="916" spans="8:8">
      <c r="H916" s="58" t="str">
        <f t="shared" si="10"/>
        <v/>
      </c>
    </row>
    <row r="917" spans="8:8">
      <c r="H917" s="58" t="str">
        <f t="shared" si="10"/>
        <v/>
      </c>
    </row>
    <row r="918" spans="8:8">
      <c r="H918" s="58" t="str">
        <f t="shared" si="10"/>
        <v/>
      </c>
    </row>
    <row r="919" spans="8:8">
      <c r="H919" s="58" t="str">
        <f t="shared" si="10"/>
        <v/>
      </c>
    </row>
    <row r="920" spans="8:8">
      <c r="H920" s="58" t="str">
        <f t="shared" si="10"/>
        <v/>
      </c>
    </row>
    <row r="921" spans="8:8">
      <c r="H921" s="58" t="str">
        <f t="shared" si="10"/>
        <v/>
      </c>
    </row>
    <row r="922" spans="8:8">
      <c r="H922" s="58" t="str">
        <f t="shared" si="10"/>
        <v/>
      </c>
    </row>
    <row r="923" spans="8:8">
      <c r="H923" s="58" t="str">
        <f t="shared" si="10"/>
        <v/>
      </c>
    </row>
    <row r="924" spans="8:8">
      <c r="H924" s="58" t="str">
        <f t="shared" si="10"/>
        <v/>
      </c>
    </row>
    <row r="925" spans="8:8">
      <c r="H925" s="58" t="str">
        <f t="shared" si="10"/>
        <v/>
      </c>
    </row>
    <row r="926" spans="8:8">
      <c r="H926" s="58" t="str">
        <f t="shared" si="10"/>
        <v/>
      </c>
    </row>
    <row r="927" spans="8:8">
      <c r="H927" s="58" t="str">
        <f t="shared" ref="H927:H990" si="11">+IF(G927="","",E927/F927)</f>
        <v/>
      </c>
    </row>
    <row r="928" spans="8:8">
      <c r="H928" s="58" t="str">
        <f t="shared" si="11"/>
        <v/>
      </c>
    </row>
    <row r="929" spans="8:8">
      <c r="H929" s="58" t="str">
        <f t="shared" si="11"/>
        <v/>
      </c>
    </row>
    <row r="930" spans="8:8">
      <c r="H930" s="58" t="str">
        <f t="shared" si="11"/>
        <v/>
      </c>
    </row>
    <row r="931" spans="8:8">
      <c r="H931" s="58" t="str">
        <f t="shared" si="11"/>
        <v/>
      </c>
    </row>
    <row r="932" spans="8:8">
      <c r="H932" s="58" t="str">
        <f t="shared" si="11"/>
        <v/>
      </c>
    </row>
    <row r="933" spans="8:8">
      <c r="H933" s="58" t="str">
        <f t="shared" si="11"/>
        <v/>
      </c>
    </row>
    <row r="934" spans="8:8">
      <c r="H934" s="58" t="str">
        <f t="shared" si="11"/>
        <v/>
      </c>
    </row>
    <row r="935" spans="8:8">
      <c r="H935" s="58" t="str">
        <f t="shared" si="11"/>
        <v/>
      </c>
    </row>
    <row r="936" spans="8:8">
      <c r="H936" s="58" t="str">
        <f t="shared" si="11"/>
        <v/>
      </c>
    </row>
    <row r="937" spans="8:8">
      <c r="H937" s="58" t="str">
        <f t="shared" si="11"/>
        <v/>
      </c>
    </row>
    <row r="938" spans="8:8">
      <c r="H938" s="58" t="str">
        <f t="shared" si="11"/>
        <v/>
      </c>
    </row>
    <row r="939" spans="8:8">
      <c r="H939" s="58" t="str">
        <f t="shared" si="11"/>
        <v/>
      </c>
    </row>
    <row r="940" spans="8:8">
      <c r="H940" s="58" t="str">
        <f t="shared" si="11"/>
        <v/>
      </c>
    </row>
    <row r="941" spans="8:8">
      <c r="H941" s="58" t="str">
        <f t="shared" si="11"/>
        <v/>
      </c>
    </row>
    <row r="942" spans="8:8">
      <c r="H942" s="58" t="str">
        <f t="shared" si="11"/>
        <v/>
      </c>
    </row>
    <row r="943" spans="8:8">
      <c r="H943" s="58" t="str">
        <f t="shared" si="11"/>
        <v/>
      </c>
    </row>
    <row r="944" spans="8:8">
      <c r="H944" s="58" t="str">
        <f t="shared" si="11"/>
        <v/>
      </c>
    </row>
    <row r="945" spans="8:8">
      <c r="H945" s="58" t="str">
        <f t="shared" si="11"/>
        <v/>
      </c>
    </row>
    <row r="946" spans="8:8">
      <c r="H946" s="58" t="str">
        <f t="shared" si="11"/>
        <v/>
      </c>
    </row>
    <row r="947" spans="8:8">
      <c r="H947" s="58" t="str">
        <f t="shared" si="11"/>
        <v/>
      </c>
    </row>
    <row r="948" spans="8:8">
      <c r="H948" s="58" t="str">
        <f t="shared" si="11"/>
        <v/>
      </c>
    </row>
    <row r="949" spans="8:8">
      <c r="H949" s="58" t="str">
        <f t="shared" si="11"/>
        <v/>
      </c>
    </row>
    <row r="950" spans="8:8">
      <c r="H950" s="58" t="str">
        <f t="shared" si="11"/>
        <v/>
      </c>
    </row>
    <row r="951" spans="8:8">
      <c r="H951" s="58" t="str">
        <f t="shared" si="11"/>
        <v/>
      </c>
    </row>
    <row r="952" spans="8:8">
      <c r="H952" s="58" t="str">
        <f t="shared" si="11"/>
        <v/>
      </c>
    </row>
    <row r="953" spans="8:8">
      <c r="H953" s="58" t="str">
        <f t="shared" si="11"/>
        <v/>
      </c>
    </row>
    <row r="954" spans="8:8">
      <c r="H954" s="58" t="str">
        <f t="shared" si="11"/>
        <v/>
      </c>
    </row>
    <row r="955" spans="8:8">
      <c r="H955" s="58" t="str">
        <f t="shared" si="11"/>
        <v/>
      </c>
    </row>
    <row r="956" spans="8:8">
      <c r="H956" s="58" t="str">
        <f t="shared" si="11"/>
        <v/>
      </c>
    </row>
    <row r="957" spans="8:8">
      <c r="H957" s="58" t="str">
        <f t="shared" si="11"/>
        <v/>
      </c>
    </row>
    <row r="958" spans="8:8">
      <c r="H958" s="58" t="str">
        <f t="shared" si="11"/>
        <v/>
      </c>
    </row>
    <row r="959" spans="8:8">
      <c r="H959" s="58" t="str">
        <f t="shared" si="11"/>
        <v/>
      </c>
    </row>
    <row r="960" spans="8:8">
      <c r="H960" s="58" t="str">
        <f t="shared" si="11"/>
        <v/>
      </c>
    </row>
    <row r="961" spans="8:8">
      <c r="H961" s="58" t="str">
        <f t="shared" si="11"/>
        <v/>
      </c>
    </row>
    <row r="962" spans="8:8">
      <c r="H962" s="58" t="str">
        <f t="shared" si="11"/>
        <v/>
      </c>
    </row>
    <row r="963" spans="8:8">
      <c r="H963" s="58" t="str">
        <f t="shared" si="11"/>
        <v/>
      </c>
    </row>
    <row r="964" spans="8:8">
      <c r="H964" s="58" t="str">
        <f t="shared" si="11"/>
        <v/>
      </c>
    </row>
    <row r="965" spans="8:8">
      <c r="H965" s="58" t="str">
        <f t="shared" si="11"/>
        <v/>
      </c>
    </row>
    <row r="966" spans="8:8">
      <c r="H966" s="58" t="str">
        <f t="shared" si="11"/>
        <v/>
      </c>
    </row>
    <row r="967" spans="8:8">
      <c r="H967" s="58" t="str">
        <f t="shared" si="11"/>
        <v/>
      </c>
    </row>
    <row r="968" spans="8:8">
      <c r="H968" s="58" t="str">
        <f t="shared" si="11"/>
        <v/>
      </c>
    </row>
    <row r="969" spans="8:8">
      <c r="H969" s="58" t="str">
        <f t="shared" si="11"/>
        <v/>
      </c>
    </row>
    <row r="970" spans="8:8">
      <c r="H970" s="58" t="str">
        <f t="shared" si="11"/>
        <v/>
      </c>
    </row>
    <row r="971" spans="8:8">
      <c r="H971" s="58" t="str">
        <f t="shared" si="11"/>
        <v/>
      </c>
    </row>
    <row r="972" spans="8:8">
      <c r="H972" s="58" t="str">
        <f t="shared" si="11"/>
        <v/>
      </c>
    </row>
    <row r="973" spans="8:8">
      <c r="H973" s="58" t="str">
        <f t="shared" si="11"/>
        <v/>
      </c>
    </row>
    <row r="974" spans="8:8">
      <c r="H974" s="58" t="str">
        <f t="shared" si="11"/>
        <v/>
      </c>
    </row>
    <row r="975" spans="8:8">
      <c r="H975" s="58" t="str">
        <f t="shared" si="11"/>
        <v/>
      </c>
    </row>
    <row r="976" spans="8:8">
      <c r="H976" s="58" t="str">
        <f t="shared" si="11"/>
        <v/>
      </c>
    </row>
    <row r="977" spans="8:8">
      <c r="H977" s="58" t="str">
        <f t="shared" si="11"/>
        <v/>
      </c>
    </row>
    <row r="978" spans="8:8">
      <c r="H978" s="58" t="str">
        <f t="shared" si="11"/>
        <v/>
      </c>
    </row>
    <row r="979" spans="8:8">
      <c r="H979" s="58" t="str">
        <f t="shared" si="11"/>
        <v/>
      </c>
    </row>
    <row r="980" spans="8:8">
      <c r="H980" s="58" t="str">
        <f t="shared" si="11"/>
        <v/>
      </c>
    </row>
    <row r="981" spans="8:8">
      <c r="H981" s="58" t="str">
        <f t="shared" si="11"/>
        <v/>
      </c>
    </row>
    <row r="982" spans="8:8">
      <c r="H982" s="58" t="str">
        <f t="shared" si="11"/>
        <v/>
      </c>
    </row>
    <row r="983" spans="8:8">
      <c r="H983" s="58" t="str">
        <f t="shared" si="11"/>
        <v/>
      </c>
    </row>
    <row r="984" spans="8:8">
      <c r="H984" s="58" t="str">
        <f t="shared" si="11"/>
        <v/>
      </c>
    </row>
    <row r="985" spans="8:8">
      <c r="H985" s="58" t="str">
        <f t="shared" si="11"/>
        <v/>
      </c>
    </row>
    <row r="986" spans="8:8">
      <c r="H986" s="58" t="str">
        <f t="shared" si="11"/>
        <v/>
      </c>
    </row>
    <row r="987" spans="8:8">
      <c r="H987" s="58" t="str">
        <f t="shared" si="11"/>
        <v/>
      </c>
    </row>
    <row r="988" spans="8:8">
      <c r="H988" s="58" t="str">
        <f t="shared" si="11"/>
        <v/>
      </c>
    </row>
    <row r="989" spans="8:8">
      <c r="H989" s="58" t="str">
        <f t="shared" si="11"/>
        <v/>
      </c>
    </row>
    <row r="990" spans="8:8">
      <c r="H990" s="58" t="str">
        <f t="shared" si="11"/>
        <v/>
      </c>
    </row>
    <row r="991" spans="8:8">
      <c r="H991" s="58" t="str">
        <f t="shared" ref="H991:H1001" si="12">+IF(G991="","",E991/F991)</f>
        <v/>
      </c>
    </row>
    <row r="992" spans="8:8">
      <c r="H992" s="58" t="str">
        <f t="shared" si="12"/>
        <v/>
      </c>
    </row>
    <row r="993" spans="8:8">
      <c r="H993" s="58" t="str">
        <f t="shared" si="12"/>
        <v/>
      </c>
    </row>
    <row r="994" spans="8:8">
      <c r="H994" s="58" t="str">
        <f t="shared" si="12"/>
        <v/>
      </c>
    </row>
    <row r="995" spans="8:8">
      <c r="H995" s="58" t="str">
        <f t="shared" si="12"/>
        <v/>
      </c>
    </row>
    <row r="996" spans="8:8">
      <c r="H996" s="58" t="str">
        <f t="shared" si="12"/>
        <v/>
      </c>
    </row>
    <row r="997" spans="8:8">
      <c r="H997" s="58" t="str">
        <f t="shared" si="12"/>
        <v/>
      </c>
    </row>
    <row r="998" spans="8:8">
      <c r="H998" s="58" t="str">
        <f t="shared" si="12"/>
        <v/>
      </c>
    </row>
    <row r="999" spans="8:8">
      <c r="H999" s="58" t="str">
        <f t="shared" si="12"/>
        <v/>
      </c>
    </row>
    <row r="1000" spans="8:8">
      <c r="H1000" s="58" t="str">
        <f t="shared" si="12"/>
        <v/>
      </c>
    </row>
    <row r="1001" spans="8:8">
      <c r="H1001" s="58" t="str">
        <f t="shared" si="12"/>
        <v/>
      </c>
    </row>
  </sheetData>
  <autoFilter ref="A1:H1001" xr:uid="{00000000-0009-0000-0000-000008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export_letras">
                <anchor moveWithCells="1" sizeWithCells="1">
                  <from>
                    <xdr:col>10</xdr:col>
                    <xdr:colOff>0</xdr:colOff>
                    <xdr:row>1</xdr:row>
                    <xdr:rowOff>76200</xdr:rowOff>
                  </from>
                  <to>
                    <xdr:col>11</xdr:col>
                    <xdr:colOff>457200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 macro="[0]!return_to_admin">
                <anchor moveWithCells="1" sizeWithCells="1">
                  <from>
                    <xdr:col>8</xdr:col>
                    <xdr:colOff>27214</xdr:colOff>
                    <xdr:row>1</xdr:row>
                    <xdr:rowOff>76200</xdr:rowOff>
                  </from>
                  <to>
                    <xdr:col>9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5" name="Button 3">
              <controlPr defaultSize="0" print="0" autoFill="0" autoPict="0" macro="[0]!letras_mantenimiento">
                <anchor moveWithCells="1" sizeWithCells="1">
                  <from>
                    <xdr:col>8</xdr:col>
                    <xdr:colOff>713014</xdr:colOff>
                    <xdr:row>3</xdr:row>
                    <xdr:rowOff>125186</xdr:rowOff>
                  </from>
                  <to>
                    <xdr:col>10</xdr:col>
                    <xdr:colOff>522514</xdr:colOff>
                    <xdr:row>5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AEA98-8A96-4E2E-901F-8021C2320219}">
  <sheetPr codeName="Sheet1"/>
  <dimension ref="A1"/>
  <sheetViews>
    <sheetView workbookViewId="0"/>
  </sheetViews>
  <sheetFormatPr defaultRowHeight="14.6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/>
  <dimension ref="A1:K1016"/>
  <sheetViews>
    <sheetView showGridLines="0" showRowColHeaders="0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2" sqref="A22"/>
    </sheetView>
  </sheetViews>
  <sheetFormatPr defaultColWidth="11.3828125" defaultRowHeight="12"/>
  <cols>
    <col min="1" max="1" width="18.69140625" style="52" bestFit="1" customWidth="1"/>
    <col min="2" max="2" width="20" style="52" bestFit="1" customWidth="1"/>
    <col min="3" max="3" width="14.53515625" style="52" bestFit="1" customWidth="1"/>
    <col min="4" max="4" width="13.53515625" style="54" bestFit="1" customWidth="1"/>
    <col min="5" max="5" width="11.3828125" style="54" bestFit="1" customWidth="1"/>
    <col min="6" max="6" width="12.3828125" style="54" bestFit="1" customWidth="1"/>
    <col min="7" max="7" width="14.3828125" style="54" bestFit="1" customWidth="1"/>
    <col min="8" max="8" width="14.53515625" style="55" bestFit="1" customWidth="1"/>
    <col min="9" max="9" width="8.3828125" style="51" bestFit="1" customWidth="1"/>
    <col min="10" max="16384" width="11.3828125" style="51"/>
  </cols>
  <sheetData>
    <row r="1" spans="1:9" s="52" customFormat="1">
      <c r="A1" s="47" t="s">
        <v>86</v>
      </c>
      <c r="B1" s="47" t="s">
        <v>87</v>
      </c>
      <c r="C1" s="47" t="s">
        <v>94</v>
      </c>
      <c r="D1" s="49" t="s">
        <v>95</v>
      </c>
      <c r="E1" s="49" t="s">
        <v>6</v>
      </c>
      <c r="F1" s="49" t="s">
        <v>90</v>
      </c>
      <c r="G1" s="49" t="s">
        <v>91</v>
      </c>
      <c r="H1" s="50" t="s">
        <v>92</v>
      </c>
      <c r="I1" s="47" t="s">
        <v>99</v>
      </c>
    </row>
    <row r="2" spans="1:9">
      <c r="I2" s="58"/>
    </row>
    <row r="3" spans="1:9">
      <c r="I3" s="58"/>
    </row>
    <row r="4" spans="1:9">
      <c r="I4" s="58"/>
    </row>
    <row r="5" spans="1:9">
      <c r="I5" s="58"/>
    </row>
    <row r="6" spans="1:9">
      <c r="I6" s="58"/>
    </row>
    <row r="7" spans="1:9">
      <c r="I7" s="58"/>
    </row>
    <row r="8" spans="1:9">
      <c r="I8" s="58"/>
    </row>
    <row r="9" spans="1:9">
      <c r="I9" s="58"/>
    </row>
    <row r="10" spans="1:9">
      <c r="I10" s="58"/>
    </row>
    <row r="11" spans="1:9">
      <c r="I11" s="58"/>
    </row>
    <row r="12" spans="1:9">
      <c r="I12" s="58"/>
    </row>
    <row r="13" spans="1:9">
      <c r="I13" s="58"/>
    </row>
    <row r="14" spans="1:9">
      <c r="I14" s="58"/>
    </row>
    <row r="15" spans="1:9">
      <c r="I15" s="58"/>
    </row>
    <row r="16" spans="1:9">
      <c r="I16" s="58"/>
    </row>
    <row r="17" spans="9:9">
      <c r="I17" s="58"/>
    </row>
    <row r="18" spans="9:9">
      <c r="I18" s="58"/>
    </row>
    <row r="19" spans="9:9">
      <c r="I19" s="58"/>
    </row>
    <row r="20" spans="9:9">
      <c r="I20" s="58"/>
    </row>
    <row r="21" spans="9:9">
      <c r="I21" s="58"/>
    </row>
    <row r="22" spans="9:9">
      <c r="I22" s="58"/>
    </row>
    <row r="23" spans="9:9">
      <c r="I23" s="58"/>
    </row>
    <row r="24" spans="9:9">
      <c r="I24" s="58"/>
    </row>
    <row r="25" spans="9:9">
      <c r="I25" s="58"/>
    </row>
    <row r="26" spans="9:9">
      <c r="I26" s="58"/>
    </row>
    <row r="27" spans="9:9">
      <c r="I27" s="58"/>
    </row>
    <row r="28" spans="9:9">
      <c r="I28" s="58"/>
    </row>
    <row r="29" spans="9:9">
      <c r="I29" s="58"/>
    </row>
    <row r="30" spans="9:9">
      <c r="I30" s="58"/>
    </row>
    <row r="31" spans="9:9">
      <c r="I31" s="58"/>
    </row>
    <row r="32" spans="9:9">
      <c r="I32" s="58"/>
    </row>
    <row r="33" spans="9:9">
      <c r="I33" s="58"/>
    </row>
    <row r="34" spans="9:9">
      <c r="I34" s="58"/>
    </row>
    <row r="35" spans="9:9">
      <c r="I35" s="58"/>
    </row>
    <row r="36" spans="9:9">
      <c r="I36" s="58"/>
    </row>
    <row r="37" spans="9:9">
      <c r="I37" s="58"/>
    </row>
    <row r="38" spans="9:9">
      <c r="I38" s="58"/>
    </row>
    <row r="39" spans="9:9">
      <c r="I39" s="58"/>
    </row>
    <row r="40" spans="9:9">
      <c r="I40" s="58"/>
    </row>
    <row r="41" spans="9:9">
      <c r="I41" s="58"/>
    </row>
    <row r="42" spans="9:9">
      <c r="I42" s="58"/>
    </row>
    <row r="43" spans="9:9">
      <c r="I43" s="58"/>
    </row>
    <row r="44" spans="9:9">
      <c r="I44" s="58"/>
    </row>
    <row r="45" spans="9:9">
      <c r="I45" s="58"/>
    </row>
    <row r="46" spans="9:9">
      <c r="I46" s="58"/>
    </row>
    <row r="47" spans="9:9">
      <c r="I47" s="58"/>
    </row>
    <row r="48" spans="9:9">
      <c r="I48" s="58"/>
    </row>
    <row r="49" spans="9:9">
      <c r="I49" s="58"/>
    </row>
    <row r="50" spans="9:9">
      <c r="I50" s="58"/>
    </row>
    <row r="51" spans="9:9">
      <c r="I51" s="58"/>
    </row>
    <row r="52" spans="9:9">
      <c r="I52" s="58"/>
    </row>
    <row r="53" spans="9:9">
      <c r="I53" s="58"/>
    </row>
    <row r="54" spans="9:9">
      <c r="I54" s="58"/>
    </row>
    <row r="55" spans="9:9">
      <c r="I55" s="58"/>
    </row>
    <row r="56" spans="9:9">
      <c r="I56" s="58"/>
    </row>
    <row r="57" spans="9:9">
      <c r="I57" s="58"/>
    </row>
    <row r="58" spans="9:9">
      <c r="I58" s="58"/>
    </row>
    <row r="59" spans="9:9">
      <c r="I59" s="58"/>
    </row>
    <row r="60" spans="9:9">
      <c r="I60" s="58"/>
    </row>
    <row r="61" spans="9:9">
      <c r="I61" s="58"/>
    </row>
    <row r="62" spans="9:9">
      <c r="I62" s="58"/>
    </row>
    <row r="63" spans="9:9">
      <c r="I63" s="58"/>
    </row>
    <row r="64" spans="9:9">
      <c r="I64" s="58"/>
    </row>
    <row r="65" spans="9:9">
      <c r="I65" s="58"/>
    </row>
    <row r="66" spans="9:9">
      <c r="I66" s="58"/>
    </row>
    <row r="67" spans="9:9">
      <c r="I67" s="58"/>
    </row>
    <row r="68" spans="9:9">
      <c r="I68" s="58"/>
    </row>
    <row r="69" spans="9:9">
      <c r="I69" s="58"/>
    </row>
    <row r="70" spans="9:9">
      <c r="I70" s="58"/>
    </row>
    <row r="71" spans="9:9">
      <c r="I71" s="58"/>
    </row>
    <row r="72" spans="9:9">
      <c r="I72" s="58"/>
    </row>
    <row r="73" spans="9:9">
      <c r="I73" s="58"/>
    </row>
    <row r="74" spans="9:9">
      <c r="I74" s="58"/>
    </row>
    <row r="75" spans="9:9">
      <c r="I75" s="58"/>
    </row>
    <row r="76" spans="9:9">
      <c r="I76" s="58"/>
    </row>
    <row r="77" spans="9:9">
      <c r="I77" s="58"/>
    </row>
    <row r="78" spans="9:9">
      <c r="I78" s="58"/>
    </row>
    <row r="79" spans="9:9">
      <c r="I79" s="58"/>
    </row>
    <row r="80" spans="9:9">
      <c r="I80" s="58"/>
    </row>
    <row r="81" spans="9:9">
      <c r="I81" s="58"/>
    </row>
    <row r="82" spans="9:9">
      <c r="I82" s="58"/>
    </row>
    <row r="83" spans="9:9">
      <c r="I83" s="58"/>
    </row>
    <row r="84" spans="9:9">
      <c r="I84" s="58"/>
    </row>
    <row r="85" spans="9:9">
      <c r="I85" s="58"/>
    </row>
    <row r="86" spans="9:9">
      <c r="I86" s="58"/>
    </row>
    <row r="87" spans="9:9">
      <c r="I87" s="58"/>
    </row>
    <row r="88" spans="9:9">
      <c r="I88" s="58"/>
    </row>
    <row r="89" spans="9:9">
      <c r="I89" s="58"/>
    </row>
    <row r="90" spans="9:9">
      <c r="I90" s="58"/>
    </row>
    <row r="91" spans="9:9">
      <c r="I91" s="58"/>
    </row>
    <row r="92" spans="9:9">
      <c r="I92" s="58"/>
    </row>
    <row r="93" spans="9:9">
      <c r="I93" s="58"/>
    </row>
    <row r="94" spans="9:9">
      <c r="I94" s="58"/>
    </row>
    <row r="95" spans="9:9">
      <c r="I95" s="58"/>
    </row>
    <row r="96" spans="9:9">
      <c r="I96" s="58"/>
    </row>
    <row r="97" spans="9:9">
      <c r="I97" s="58"/>
    </row>
    <row r="98" spans="9:9">
      <c r="I98" s="58"/>
    </row>
    <row r="99" spans="9:9">
      <c r="I99" s="58"/>
    </row>
    <row r="100" spans="9:9">
      <c r="I100" s="58"/>
    </row>
    <row r="101" spans="9:9">
      <c r="I101" s="58"/>
    </row>
    <row r="102" spans="9:9">
      <c r="I102" s="58"/>
    </row>
    <row r="103" spans="9:9">
      <c r="I103" s="58"/>
    </row>
    <row r="104" spans="9:9">
      <c r="I104" s="58"/>
    </row>
    <row r="105" spans="9:9">
      <c r="I105" s="58"/>
    </row>
    <row r="106" spans="9:9">
      <c r="I106" s="58"/>
    </row>
    <row r="107" spans="9:9">
      <c r="I107" s="58"/>
    </row>
    <row r="108" spans="9:9">
      <c r="I108" s="58"/>
    </row>
    <row r="109" spans="9:9">
      <c r="I109" s="58"/>
    </row>
    <row r="110" spans="9:9">
      <c r="I110" s="58"/>
    </row>
    <row r="111" spans="9:9">
      <c r="I111" s="58"/>
    </row>
    <row r="112" spans="9:9">
      <c r="I112" s="58"/>
    </row>
    <row r="113" spans="9:9">
      <c r="I113" s="58"/>
    </row>
    <row r="114" spans="9:9">
      <c r="I114" s="58"/>
    </row>
    <row r="115" spans="9:9">
      <c r="I115" s="58"/>
    </row>
    <row r="116" spans="9:9">
      <c r="I116" s="58"/>
    </row>
    <row r="117" spans="9:9">
      <c r="I117" s="58"/>
    </row>
    <row r="118" spans="9:9">
      <c r="I118" s="58"/>
    </row>
    <row r="119" spans="9:9">
      <c r="I119" s="58"/>
    </row>
    <row r="120" spans="9:9">
      <c r="I120" s="58"/>
    </row>
    <row r="121" spans="9:9">
      <c r="I121" s="58"/>
    </row>
    <row r="122" spans="9:9">
      <c r="I122" s="58"/>
    </row>
    <row r="123" spans="9:9">
      <c r="I123" s="58"/>
    </row>
    <row r="124" spans="9:9">
      <c r="I124" s="58"/>
    </row>
    <row r="125" spans="9:9">
      <c r="I125" s="58"/>
    </row>
    <row r="126" spans="9:9">
      <c r="I126" s="58"/>
    </row>
    <row r="127" spans="9:9">
      <c r="I127" s="58"/>
    </row>
    <row r="128" spans="9:9">
      <c r="I128" s="58"/>
    </row>
    <row r="129" spans="8:11">
      <c r="I129" s="58"/>
    </row>
    <row r="130" spans="8:11">
      <c r="I130" s="58"/>
    </row>
    <row r="131" spans="8:11">
      <c r="I131" s="58"/>
    </row>
    <row r="132" spans="8:11">
      <c r="I132" s="58"/>
    </row>
    <row r="133" spans="8:11">
      <c r="I133" s="58"/>
    </row>
    <row r="134" spans="8:11">
      <c r="I134" s="58"/>
    </row>
    <row r="135" spans="8:11">
      <c r="I135" s="58"/>
    </row>
    <row r="136" spans="8:11">
      <c r="I136" s="58"/>
    </row>
    <row r="137" spans="8:11">
      <c r="I137" s="58"/>
    </row>
    <row r="138" spans="8:11">
      <c r="I138" s="58"/>
    </row>
    <row r="139" spans="8:11">
      <c r="I139" s="58"/>
    </row>
    <row r="140" spans="8:11">
      <c r="I140" s="58"/>
    </row>
    <row r="141" spans="8:11">
      <c r="H141" s="54"/>
      <c r="I141" s="58"/>
    </row>
    <row r="142" spans="8:11">
      <c r="H142" s="54"/>
      <c r="I142" s="58"/>
      <c r="K142" s="54"/>
    </row>
    <row r="143" spans="8:11">
      <c r="I143" s="58"/>
    </row>
    <row r="144" spans="8:11">
      <c r="I144" s="58"/>
    </row>
    <row r="145" spans="9:9">
      <c r="I145" s="58"/>
    </row>
    <row r="146" spans="9:9">
      <c r="I146" s="58"/>
    </row>
    <row r="147" spans="9:9">
      <c r="I147" s="58"/>
    </row>
    <row r="148" spans="9:9">
      <c r="I148" s="58"/>
    </row>
    <row r="149" spans="9:9">
      <c r="I149" s="58"/>
    </row>
    <row r="150" spans="9:9">
      <c r="I150" s="58"/>
    </row>
    <row r="151" spans="9:9">
      <c r="I151" s="58"/>
    </row>
    <row r="152" spans="9:9">
      <c r="I152" s="58"/>
    </row>
    <row r="153" spans="9:9">
      <c r="I153" s="58"/>
    </row>
    <row r="154" spans="9:9">
      <c r="I154" s="58"/>
    </row>
    <row r="155" spans="9:9">
      <c r="I155" s="58"/>
    </row>
    <row r="156" spans="9:9">
      <c r="I156" s="58"/>
    </row>
    <row r="157" spans="9:9">
      <c r="I157" s="58"/>
    </row>
    <row r="158" spans="9:9">
      <c r="I158" s="58"/>
    </row>
    <row r="159" spans="9:9">
      <c r="I159" s="58"/>
    </row>
    <row r="160" spans="9:9">
      <c r="I160" s="58"/>
    </row>
    <row r="161" spans="9:9">
      <c r="I161" s="58"/>
    </row>
    <row r="162" spans="9:9">
      <c r="I162" s="58"/>
    </row>
    <row r="163" spans="9:9">
      <c r="I163" s="58"/>
    </row>
    <row r="164" spans="9:9">
      <c r="I164" s="58"/>
    </row>
    <row r="165" spans="9:9">
      <c r="I165" s="58"/>
    </row>
    <row r="166" spans="9:9">
      <c r="I166" s="58"/>
    </row>
    <row r="167" spans="9:9">
      <c r="I167" s="58"/>
    </row>
    <row r="168" spans="9:9">
      <c r="I168" s="58"/>
    </row>
    <row r="169" spans="9:9">
      <c r="I169" s="58"/>
    </row>
    <row r="170" spans="9:9">
      <c r="I170" s="58"/>
    </row>
    <row r="171" spans="9:9">
      <c r="I171" s="58"/>
    </row>
    <row r="172" spans="9:9">
      <c r="I172" s="58"/>
    </row>
    <row r="173" spans="9:9">
      <c r="I173" s="58"/>
    </row>
    <row r="174" spans="9:9">
      <c r="I174" s="58"/>
    </row>
    <row r="175" spans="9:9">
      <c r="I175" s="58"/>
    </row>
    <row r="176" spans="9:9">
      <c r="I176" s="58"/>
    </row>
    <row r="177" spans="9:9">
      <c r="I177" s="58"/>
    </row>
    <row r="178" spans="9:9">
      <c r="I178" s="58"/>
    </row>
    <row r="179" spans="9:9">
      <c r="I179" s="58"/>
    </row>
    <row r="180" spans="9:9">
      <c r="I180" s="58"/>
    </row>
    <row r="181" spans="9:9">
      <c r="I181" s="58"/>
    </row>
    <row r="182" spans="9:9">
      <c r="I182" s="58"/>
    </row>
    <row r="183" spans="9:9">
      <c r="I183" s="58"/>
    </row>
    <row r="184" spans="9:9">
      <c r="I184" s="58"/>
    </row>
    <row r="185" spans="9:9">
      <c r="I185" s="58"/>
    </row>
    <row r="186" spans="9:9">
      <c r="I186" s="58"/>
    </row>
    <row r="187" spans="9:9">
      <c r="I187" s="58"/>
    </row>
    <row r="188" spans="9:9">
      <c r="I188" s="58"/>
    </row>
    <row r="189" spans="9:9">
      <c r="I189" s="58"/>
    </row>
    <row r="190" spans="9:9">
      <c r="I190" s="58"/>
    </row>
    <row r="191" spans="9:9">
      <c r="I191" s="58"/>
    </row>
    <row r="192" spans="9:9">
      <c r="I192" s="58"/>
    </row>
    <row r="193" spans="9:9">
      <c r="I193" s="58"/>
    </row>
    <row r="194" spans="9:9">
      <c r="I194" s="58"/>
    </row>
    <row r="195" spans="9:9">
      <c r="I195" s="58"/>
    </row>
    <row r="196" spans="9:9">
      <c r="I196" s="58"/>
    </row>
    <row r="197" spans="9:9">
      <c r="I197" s="58"/>
    </row>
    <row r="198" spans="9:9">
      <c r="I198" s="58"/>
    </row>
    <row r="199" spans="9:9">
      <c r="I199" s="58"/>
    </row>
    <row r="200" spans="9:9">
      <c r="I200" s="58"/>
    </row>
    <row r="201" spans="9:9">
      <c r="I201" s="58"/>
    </row>
    <row r="202" spans="9:9">
      <c r="I202" s="58"/>
    </row>
    <row r="203" spans="9:9">
      <c r="I203" s="58"/>
    </row>
    <row r="204" spans="9:9">
      <c r="I204" s="58"/>
    </row>
    <row r="205" spans="9:9">
      <c r="I205" s="58"/>
    </row>
    <row r="206" spans="9:9">
      <c r="I206" s="58"/>
    </row>
    <row r="207" spans="9:9">
      <c r="I207" s="58" t="str">
        <f t="shared" ref="I207:I218" si="0">+IF(H207="","",F207/G207)</f>
        <v/>
      </c>
    </row>
    <row r="208" spans="9:9">
      <c r="I208" s="58" t="str">
        <f t="shared" si="0"/>
        <v/>
      </c>
    </row>
    <row r="209" spans="9:9">
      <c r="I209" s="58" t="str">
        <f t="shared" si="0"/>
        <v/>
      </c>
    </row>
    <row r="210" spans="9:9">
      <c r="I210" s="58" t="str">
        <f t="shared" si="0"/>
        <v/>
      </c>
    </row>
    <row r="211" spans="9:9">
      <c r="I211" s="58" t="str">
        <f t="shared" si="0"/>
        <v/>
      </c>
    </row>
    <row r="212" spans="9:9">
      <c r="I212" s="58" t="str">
        <f t="shared" si="0"/>
        <v/>
      </c>
    </row>
    <row r="213" spans="9:9">
      <c r="I213" s="58" t="str">
        <f t="shared" si="0"/>
        <v/>
      </c>
    </row>
    <row r="214" spans="9:9">
      <c r="I214" s="58" t="str">
        <f t="shared" si="0"/>
        <v/>
      </c>
    </row>
    <row r="215" spans="9:9">
      <c r="I215" s="58" t="str">
        <f t="shared" si="0"/>
        <v/>
      </c>
    </row>
    <row r="216" spans="9:9">
      <c r="I216" s="58" t="str">
        <f t="shared" si="0"/>
        <v/>
      </c>
    </row>
    <row r="217" spans="9:9">
      <c r="I217" s="58" t="str">
        <f t="shared" si="0"/>
        <v/>
      </c>
    </row>
    <row r="218" spans="9:9">
      <c r="I218" s="58" t="str">
        <f t="shared" si="0"/>
        <v/>
      </c>
    </row>
    <row r="219" spans="9:9">
      <c r="I219" s="58" t="str">
        <f t="shared" ref="I219:I282" si="1">+IF(H219="","",F219/G219)</f>
        <v/>
      </c>
    </row>
    <row r="220" spans="9:9">
      <c r="I220" s="58" t="str">
        <f t="shared" si="1"/>
        <v/>
      </c>
    </row>
    <row r="221" spans="9:9">
      <c r="I221" s="58" t="str">
        <f t="shared" si="1"/>
        <v/>
      </c>
    </row>
    <row r="222" spans="9:9">
      <c r="I222" s="58" t="str">
        <f t="shared" si="1"/>
        <v/>
      </c>
    </row>
    <row r="223" spans="9:9">
      <c r="I223" s="58" t="str">
        <f t="shared" si="1"/>
        <v/>
      </c>
    </row>
    <row r="224" spans="9:9">
      <c r="I224" s="58" t="str">
        <f t="shared" si="1"/>
        <v/>
      </c>
    </row>
    <row r="225" spans="9:9">
      <c r="I225" s="58" t="str">
        <f t="shared" si="1"/>
        <v/>
      </c>
    </row>
    <row r="226" spans="9:9">
      <c r="I226" s="58" t="str">
        <f t="shared" si="1"/>
        <v/>
      </c>
    </row>
    <row r="227" spans="9:9">
      <c r="I227" s="58" t="str">
        <f t="shared" si="1"/>
        <v/>
      </c>
    </row>
    <row r="228" spans="9:9">
      <c r="I228" s="58" t="str">
        <f t="shared" si="1"/>
        <v/>
      </c>
    </row>
    <row r="229" spans="9:9">
      <c r="I229" s="58" t="str">
        <f t="shared" si="1"/>
        <v/>
      </c>
    </row>
    <row r="230" spans="9:9">
      <c r="I230" s="58" t="str">
        <f t="shared" si="1"/>
        <v/>
      </c>
    </row>
    <row r="231" spans="9:9">
      <c r="I231" s="58" t="str">
        <f t="shared" si="1"/>
        <v/>
      </c>
    </row>
    <row r="232" spans="9:9">
      <c r="I232" s="58" t="str">
        <f t="shared" si="1"/>
        <v/>
      </c>
    </row>
    <row r="233" spans="9:9">
      <c r="I233" s="58" t="str">
        <f t="shared" si="1"/>
        <v/>
      </c>
    </row>
    <row r="234" spans="9:9">
      <c r="I234" s="58" t="str">
        <f t="shared" si="1"/>
        <v/>
      </c>
    </row>
    <row r="235" spans="9:9">
      <c r="I235" s="58" t="str">
        <f t="shared" si="1"/>
        <v/>
      </c>
    </row>
    <row r="236" spans="9:9">
      <c r="I236" s="58" t="str">
        <f t="shared" si="1"/>
        <v/>
      </c>
    </row>
    <row r="237" spans="9:9">
      <c r="I237" s="58" t="str">
        <f t="shared" si="1"/>
        <v/>
      </c>
    </row>
    <row r="238" spans="9:9">
      <c r="I238" s="58" t="str">
        <f t="shared" si="1"/>
        <v/>
      </c>
    </row>
    <row r="239" spans="9:9">
      <c r="I239" s="58" t="str">
        <f t="shared" si="1"/>
        <v/>
      </c>
    </row>
    <row r="240" spans="9:9">
      <c r="I240" s="58" t="str">
        <f t="shared" si="1"/>
        <v/>
      </c>
    </row>
    <row r="241" spans="9:9">
      <c r="I241" s="58" t="str">
        <f t="shared" si="1"/>
        <v/>
      </c>
    </row>
    <row r="242" spans="9:9">
      <c r="I242" s="58" t="str">
        <f t="shared" si="1"/>
        <v/>
      </c>
    </row>
    <row r="243" spans="9:9">
      <c r="I243" s="58" t="str">
        <f t="shared" si="1"/>
        <v/>
      </c>
    </row>
    <row r="244" spans="9:9">
      <c r="I244" s="58" t="str">
        <f t="shared" si="1"/>
        <v/>
      </c>
    </row>
    <row r="245" spans="9:9">
      <c r="I245" s="58" t="str">
        <f t="shared" si="1"/>
        <v/>
      </c>
    </row>
    <row r="246" spans="9:9">
      <c r="I246" s="58" t="str">
        <f t="shared" si="1"/>
        <v/>
      </c>
    </row>
    <row r="247" spans="9:9">
      <c r="I247" s="58" t="str">
        <f t="shared" si="1"/>
        <v/>
      </c>
    </row>
    <row r="248" spans="9:9">
      <c r="I248" s="58" t="str">
        <f t="shared" si="1"/>
        <v/>
      </c>
    </row>
    <row r="249" spans="9:9">
      <c r="I249" s="58" t="str">
        <f t="shared" si="1"/>
        <v/>
      </c>
    </row>
    <row r="250" spans="9:9">
      <c r="I250" s="58" t="str">
        <f t="shared" si="1"/>
        <v/>
      </c>
    </row>
    <row r="251" spans="9:9">
      <c r="I251" s="58" t="str">
        <f t="shared" si="1"/>
        <v/>
      </c>
    </row>
    <row r="252" spans="9:9">
      <c r="I252" s="58" t="str">
        <f t="shared" si="1"/>
        <v/>
      </c>
    </row>
    <row r="253" spans="9:9">
      <c r="I253" s="58" t="str">
        <f t="shared" si="1"/>
        <v/>
      </c>
    </row>
    <row r="254" spans="9:9">
      <c r="I254" s="58" t="str">
        <f t="shared" si="1"/>
        <v/>
      </c>
    </row>
    <row r="255" spans="9:9">
      <c r="I255" s="58" t="str">
        <f t="shared" si="1"/>
        <v/>
      </c>
    </row>
    <row r="256" spans="9:9">
      <c r="I256" s="58" t="str">
        <f t="shared" si="1"/>
        <v/>
      </c>
    </row>
    <row r="257" spans="9:9">
      <c r="I257" s="58" t="str">
        <f t="shared" si="1"/>
        <v/>
      </c>
    </row>
    <row r="258" spans="9:9">
      <c r="I258" s="58" t="str">
        <f t="shared" si="1"/>
        <v/>
      </c>
    </row>
    <row r="259" spans="9:9">
      <c r="I259" s="58" t="str">
        <f t="shared" si="1"/>
        <v/>
      </c>
    </row>
    <row r="260" spans="9:9">
      <c r="I260" s="58" t="str">
        <f t="shared" si="1"/>
        <v/>
      </c>
    </row>
    <row r="261" spans="9:9">
      <c r="I261" s="58" t="str">
        <f t="shared" si="1"/>
        <v/>
      </c>
    </row>
    <row r="262" spans="9:9">
      <c r="I262" s="58" t="str">
        <f t="shared" si="1"/>
        <v/>
      </c>
    </row>
    <row r="263" spans="9:9">
      <c r="I263" s="58" t="str">
        <f t="shared" si="1"/>
        <v/>
      </c>
    </row>
    <row r="264" spans="9:9">
      <c r="I264" s="58" t="str">
        <f t="shared" si="1"/>
        <v/>
      </c>
    </row>
    <row r="265" spans="9:9">
      <c r="I265" s="58" t="str">
        <f t="shared" si="1"/>
        <v/>
      </c>
    </row>
    <row r="266" spans="9:9">
      <c r="I266" s="58" t="str">
        <f t="shared" si="1"/>
        <v/>
      </c>
    </row>
    <row r="267" spans="9:9">
      <c r="I267" s="58" t="str">
        <f t="shared" si="1"/>
        <v/>
      </c>
    </row>
    <row r="268" spans="9:9">
      <c r="I268" s="58" t="str">
        <f t="shared" si="1"/>
        <v/>
      </c>
    </row>
    <row r="269" spans="9:9">
      <c r="I269" s="58" t="str">
        <f t="shared" si="1"/>
        <v/>
      </c>
    </row>
    <row r="270" spans="9:9">
      <c r="I270" s="58" t="str">
        <f t="shared" si="1"/>
        <v/>
      </c>
    </row>
    <row r="271" spans="9:9">
      <c r="I271" s="58" t="str">
        <f t="shared" si="1"/>
        <v/>
      </c>
    </row>
    <row r="272" spans="9:9">
      <c r="I272" s="58" t="str">
        <f t="shared" si="1"/>
        <v/>
      </c>
    </row>
    <row r="273" spans="9:9">
      <c r="I273" s="58" t="str">
        <f t="shared" si="1"/>
        <v/>
      </c>
    </row>
    <row r="274" spans="9:9">
      <c r="I274" s="58" t="str">
        <f t="shared" si="1"/>
        <v/>
      </c>
    </row>
    <row r="275" spans="9:9">
      <c r="I275" s="58" t="str">
        <f t="shared" si="1"/>
        <v/>
      </c>
    </row>
    <row r="276" spans="9:9">
      <c r="I276" s="58" t="str">
        <f t="shared" si="1"/>
        <v/>
      </c>
    </row>
    <row r="277" spans="9:9">
      <c r="I277" s="58" t="str">
        <f t="shared" si="1"/>
        <v/>
      </c>
    </row>
    <row r="278" spans="9:9">
      <c r="I278" s="58" t="str">
        <f t="shared" si="1"/>
        <v/>
      </c>
    </row>
    <row r="279" spans="9:9">
      <c r="I279" s="58" t="str">
        <f t="shared" si="1"/>
        <v/>
      </c>
    </row>
    <row r="280" spans="9:9">
      <c r="I280" s="58" t="str">
        <f t="shared" si="1"/>
        <v/>
      </c>
    </row>
    <row r="281" spans="9:9">
      <c r="I281" s="58" t="str">
        <f t="shared" si="1"/>
        <v/>
      </c>
    </row>
    <row r="282" spans="9:9">
      <c r="I282" s="58" t="str">
        <f t="shared" si="1"/>
        <v/>
      </c>
    </row>
    <row r="283" spans="9:9">
      <c r="I283" s="58" t="str">
        <f t="shared" ref="I283:I346" si="2">+IF(H283="","",F283/G283)</f>
        <v/>
      </c>
    </row>
    <row r="284" spans="9:9">
      <c r="I284" s="58" t="str">
        <f t="shared" si="2"/>
        <v/>
      </c>
    </row>
    <row r="285" spans="9:9">
      <c r="I285" s="58" t="str">
        <f t="shared" si="2"/>
        <v/>
      </c>
    </row>
    <row r="286" spans="9:9">
      <c r="I286" s="58" t="str">
        <f t="shared" si="2"/>
        <v/>
      </c>
    </row>
    <row r="287" spans="9:9">
      <c r="I287" s="58" t="str">
        <f t="shared" si="2"/>
        <v/>
      </c>
    </row>
    <row r="288" spans="9:9">
      <c r="I288" s="58" t="str">
        <f t="shared" si="2"/>
        <v/>
      </c>
    </row>
    <row r="289" spans="9:9">
      <c r="I289" s="58" t="str">
        <f t="shared" si="2"/>
        <v/>
      </c>
    </row>
    <row r="290" spans="9:9">
      <c r="I290" s="58" t="str">
        <f t="shared" si="2"/>
        <v/>
      </c>
    </row>
    <row r="291" spans="9:9">
      <c r="I291" s="58" t="str">
        <f t="shared" si="2"/>
        <v/>
      </c>
    </row>
    <row r="292" spans="9:9">
      <c r="I292" s="58" t="str">
        <f t="shared" si="2"/>
        <v/>
      </c>
    </row>
    <row r="293" spans="9:9">
      <c r="I293" s="58" t="str">
        <f t="shared" si="2"/>
        <v/>
      </c>
    </row>
    <row r="294" spans="9:9">
      <c r="I294" s="58" t="str">
        <f t="shared" si="2"/>
        <v/>
      </c>
    </row>
    <row r="295" spans="9:9">
      <c r="I295" s="58" t="str">
        <f t="shared" si="2"/>
        <v/>
      </c>
    </row>
    <row r="296" spans="9:9">
      <c r="I296" s="58" t="str">
        <f t="shared" si="2"/>
        <v/>
      </c>
    </row>
    <row r="297" spans="9:9">
      <c r="I297" s="58" t="str">
        <f t="shared" si="2"/>
        <v/>
      </c>
    </row>
    <row r="298" spans="9:9">
      <c r="I298" s="58" t="str">
        <f t="shared" si="2"/>
        <v/>
      </c>
    </row>
    <row r="299" spans="9:9">
      <c r="I299" s="58" t="str">
        <f t="shared" si="2"/>
        <v/>
      </c>
    </row>
    <row r="300" spans="9:9">
      <c r="I300" s="58" t="str">
        <f t="shared" si="2"/>
        <v/>
      </c>
    </row>
    <row r="301" spans="9:9">
      <c r="I301" s="58" t="str">
        <f t="shared" si="2"/>
        <v/>
      </c>
    </row>
    <row r="302" spans="9:9">
      <c r="I302" s="58" t="str">
        <f t="shared" si="2"/>
        <v/>
      </c>
    </row>
    <row r="303" spans="9:9">
      <c r="I303" s="58" t="str">
        <f t="shared" si="2"/>
        <v/>
      </c>
    </row>
    <row r="304" spans="9:9">
      <c r="I304" s="58" t="str">
        <f t="shared" si="2"/>
        <v/>
      </c>
    </row>
    <row r="305" spans="9:9">
      <c r="I305" s="58" t="str">
        <f t="shared" si="2"/>
        <v/>
      </c>
    </row>
    <row r="306" spans="9:9">
      <c r="I306" s="58" t="str">
        <f t="shared" si="2"/>
        <v/>
      </c>
    </row>
    <row r="307" spans="9:9">
      <c r="I307" s="58" t="str">
        <f t="shared" si="2"/>
        <v/>
      </c>
    </row>
    <row r="308" spans="9:9">
      <c r="I308" s="58" t="str">
        <f t="shared" si="2"/>
        <v/>
      </c>
    </row>
    <row r="309" spans="9:9">
      <c r="I309" s="58" t="str">
        <f t="shared" si="2"/>
        <v/>
      </c>
    </row>
    <row r="310" spans="9:9">
      <c r="I310" s="58" t="str">
        <f t="shared" si="2"/>
        <v/>
      </c>
    </row>
    <row r="311" spans="9:9">
      <c r="I311" s="58" t="str">
        <f t="shared" si="2"/>
        <v/>
      </c>
    </row>
    <row r="312" spans="9:9">
      <c r="I312" s="58" t="str">
        <f t="shared" si="2"/>
        <v/>
      </c>
    </row>
    <row r="313" spans="9:9">
      <c r="I313" s="58" t="str">
        <f t="shared" si="2"/>
        <v/>
      </c>
    </row>
    <row r="314" spans="9:9">
      <c r="I314" s="58" t="str">
        <f t="shared" si="2"/>
        <v/>
      </c>
    </row>
    <row r="315" spans="9:9">
      <c r="I315" s="58" t="str">
        <f t="shared" si="2"/>
        <v/>
      </c>
    </row>
    <row r="316" spans="9:9">
      <c r="I316" s="58" t="str">
        <f t="shared" si="2"/>
        <v/>
      </c>
    </row>
    <row r="317" spans="9:9">
      <c r="I317" s="58" t="str">
        <f t="shared" si="2"/>
        <v/>
      </c>
    </row>
    <row r="318" spans="9:9">
      <c r="I318" s="58" t="str">
        <f t="shared" si="2"/>
        <v/>
      </c>
    </row>
    <row r="319" spans="9:9">
      <c r="I319" s="58" t="str">
        <f t="shared" si="2"/>
        <v/>
      </c>
    </row>
    <row r="320" spans="9:9">
      <c r="I320" s="58" t="str">
        <f t="shared" si="2"/>
        <v/>
      </c>
    </row>
    <row r="321" spans="9:9">
      <c r="I321" s="58" t="str">
        <f t="shared" si="2"/>
        <v/>
      </c>
    </row>
    <row r="322" spans="9:9">
      <c r="I322" s="58" t="str">
        <f t="shared" si="2"/>
        <v/>
      </c>
    </row>
    <row r="323" spans="9:9">
      <c r="I323" s="58" t="str">
        <f t="shared" si="2"/>
        <v/>
      </c>
    </row>
    <row r="324" spans="9:9">
      <c r="I324" s="58" t="str">
        <f t="shared" si="2"/>
        <v/>
      </c>
    </row>
    <row r="325" spans="9:9">
      <c r="I325" s="58" t="str">
        <f t="shared" si="2"/>
        <v/>
      </c>
    </row>
    <row r="326" spans="9:9">
      <c r="I326" s="58" t="str">
        <f t="shared" si="2"/>
        <v/>
      </c>
    </row>
    <row r="327" spans="9:9">
      <c r="I327" s="58" t="str">
        <f t="shared" si="2"/>
        <v/>
      </c>
    </row>
    <row r="328" spans="9:9">
      <c r="I328" s="58" t="str">
        <f t="shared" si="2"/>
        <v/>
      </c>
    </row>
    <row r="329" spans="9:9">
      <c r="I329" s="58" t="str">
        <f t="shared" si="2"/>
        <v/>
      </c>
    </row>
    <row r="330" spans="9:9">
      <c r="I330" s="58" t="str">
        <f t="shared" si="2"/>
        <v/>
      </c>
    </row>
    <row r="331" spans="9:9">
      <c r="I331" s="58" t="str">
        <f t="shared" si="2"/>
        <v/>
      </c>
    </row>
    <row r="332" spans="9:9">
      <c r="I332" s="58" t="str">
        <f t="shared" si="2"/>
        <v/>
      </c>
    </row>
    <row r="333" spans="9:9">
      <c r="I333" s="58" t="str">
        <f t="shared" si="2"/>
        <v/>
      </c>
    </row>
    <row r="334" spans="9:9">
      <c r="I334" s="58" t="str">
        <f t="shared" si="2"/>
        <v/>
      </c>
    </row>
    <row r="335" spans="9:9">
      <c r="I335" s="58" t="str">
        <f t="shared" si="2"/>
        <v/>
      </c>
    </row>
    <row r="336" spans="9:9">
      <c r="I336" s="58" t="str">
        <f t="shared" si="2"/>
        <v/>
      </c>
    </row>
    <row r="337" spans="9:9">
      <c r="I337" s="58" t="str">
        <f t="shared" si="2"/>
        <v/>
      </c>
    </row>
    <row r="338" spans="9:9">
      <c r="I338" s="58" t="str">
        <f t="shared" si="2"/>
        <v/>
      </c>
    </row>
    <row r="339" spans="9:9">
      <c r="I339" s="58" t="str">
        <f t="shared" si="2"/>
        <v/>
      </c>
    </row>
    <row r="340" spans="9:9">
      <c r="I340" s="58" t="str">
        <f t="shared" si="2"/>
        <v/>
      </c>
    </row>
    <row r="341" spans="9:9">
      <c r="I341" s="58" t="str">
        <f t="shared" si="2"/>
        <v/>
      </c>
    </row>
    <row r="342" spans="9:9">
      <c r="I342" s="58" t="str">
        <f t="shared" si="2"/>
        <v/>
      </c>
    </row>
    <row r="343" spans="9:9">
      <c r="I343" s="58" t="str">
        <f t="shared" si="2"/>
        <v/>
      </c>
    </row>
    <row r="344" spans="9:9">
      <c r="I344" s="58" t="str">
        <f t="shared" si="2"/>
        <v/>
      </c>
    </row>
    <row r="345" spans="9:9">
      <c r="I345" s="58" t="str">
        <f t="shared" si="2"/>
        <v/>
      </c>
    </row>
    <row r="346" spans="9:9">
      <c r="I346" s="58" t="str">
        <f t="shared" si="2"/>
        <v/>
      </c>
    </row>
    <row r="347" spans="9:9">
      <c r="I347" s="58" t="str">
        <f t="shared" ref="I347:I410" si="3">+IF(H347="","",F347/G347)</f>
        <v/>
      </c>
    </row>
    <row r="348" spans="9:9">
      <c r="I348" s="58" t="str">
        <f t="shared" si="3"/>
        <v/>
      </c>
    </row>
    <row r="349" spans="9:9">
      <c r="I349" s="58" t="str">
        <f t="shared" si="3"/>
        <v/>
      </c>
    </row>
    <row r="350" spans="9:9">
      <c r="I350" s="58" t="str">
        <f t="shared" si="3"/>
        <v/>
      </c>
    </row>
    <row r="351" spans="9:9">
      <c r="I351" s="58" t="str">
        <f t="shared" si="3"/>
        <v/>
      </c>
    </row>
    <row r="352" spans="9:9">
      <c r="I352" s="58" t="str">
        <f t="shared" si="3"/>
        <v/>
      </c>
    </row>
    <row r="353" spans="9:9">
      <c r="I353" s="58" t="str">
        <f t="shared" si="3"/>
        <v/>
      </c>
    </row>
    <row r="354" spans="9:9">
      <c r="I354" s="58" t="str">
        <f t="shared" si="3"/>
        <v/>
      </c>
    </row>
    <row r="355" spans="9:9">
      <c r="I355" s="58" t="str">
        <f t="shared" si="3"/>
        <v/>
      </c>
    </row>
    <row r="356" spans="9:9">
      <c r="I356" s="58" t="str">
        <f t="shared" si="3"/>
        <v/>
      </c>
    </row>
    <row r="357" spans="9:9">
      <c r="I357" s="58" t="str">
        <f t="shared" si="3"/>
        <v/>
      </c>
    </row>
    <row r="358" spans="9:9">
      <c r="I358" s="58" t="str">
        <f t="shared" si="3"/>
        <v/>
      </c>
    </row>
    <row r="359" spans="9:9">
      <c r="I359" s="58" t="str">
        <f t="shared" si="3"/>
        <v/>
      </c>
    </row>
    <row r="360" spans="9:9">
      <c r="I360" s="58" t="str">
        <f t="shared" si="3"/>
        <v/>
      </c>
    </row>
    <row r="361" spans="9:9">
      <c r="I361" s="58" t="str">
        <f t="shared" si="3"/>
        <v/>
      </c>
    </row>
    <row r="362" spans="9:9">
      <c r="I362" s="58" t="str">
        <f t="shared" si="3"/>
        <v/>
      </c>
    </row>
    <row r="363" spans="9:9">
      <c r="I363" s="58" t="str">
        <f t="shared" si="3"/>
        <v/>
      </c>
    </row>
    <row r="364" spans="9:9">
      <c r="I364" s="58" t="str">
        <f t="shared" si="3"/>
        <v/>
      </c>
    </row>
    <row r="365" spans="9:9">
      <c r="I365" s="58" t="str">
        <f t="shared" si="3"/>
        <v/>
      </c>
    </row>
    <row r="366" spans="9:9">
      <c r="I366" s="58" t="str">
        <f t="shared" si="3"/>
        <v/>
      </c>
    </row>
    <row r="367" spans="9:9">
      <c r="I367" s="58" t="str">
        <f t="shared" si="3"/>
        <v/>
      </c>
    </row>
    <row r="368" spans="9:9">
      <c r="I368" s="58" t="str">
        <f t="shared" si="3"/>
        <v/>
      </c>
    </row>
    <row r="369" spans="9:9">
      <c r="I369" s="58" t="str">
        <f t="shared" si="3"/>
        <v/>
      </c>
    </row>
    <row r="370" spans="9:9">
      <c r="I370" s="58" t="str">
        <f t="shared" si="3"/>
        <v/>
      </c>
    </row>
    <row r="371" spans="9:9">
      <c r="I371" s="58" t="str">
        <f t="shared" si="3"/>
        <v/>
      </c>
    </row>
    <row r="372" spans="9:9">
      <c r="I372" s="58" t="str">
        <f t="shared" si="3"/>
        <v/>
      </c>
    </row>
    <row r="373" spans="9:9">
      <c r="I373" s="58" t="str">
        <f t="shared" si="3"/>
        <v/>
      </c>
    </row>
    <row r="374" spans="9:9">
      <c r="I374" s="58" t="str">
        <f t="shared" si="3"/>
        <v/>
      </c>
    </row>
    <row r="375" spans="9:9">
      <c r="I375" s="58" t="str">
        <f t="shared" si="3"/>
        <v/>
      </c>
    </row>
    <row r="376" spans="9:9">
      <c r="I376" s="58" t="str">
        <f t="shared" si="3"/>
        <v/>
      </c>
    </row>
    <row r="377" spans="9:9">
      <c r="I377" s="58" t="str">
        <f t="shared" si="3"/>
        <v/>
      </c>
    </row>
    <row r="378" spans="9:9">
      <c r="I378" s="58" t="str">
        <f t="shared" si="3"/>
        <v/>
      </c>
    </row>
    <row r="379" spans="9:9">
      <c r="I379" s="58" t="str">
        <f t="shared" si="3"/>
        <v/>
      </c>
    </row>
    <row r="380" spans="9:9">
      <c r="I380" s="58" t="str">
        <f t="shared" si="3"/>
        <v/>
      </c>
    </row>
    <row r="381" spans="9:9">
      <c r="I381" s="58" t="str">
        <f t="shared" si="3"/>
        <v/>
      </c>
    </row>
    <row r="382" spans="9:9">
      <c r="I382" s="58" t="str">
        <f t="shared" si="3"/>
        <v/>
      </c>
    </row>
    <row r="383" spans="9:9">
      <c r="I383" s="58" t="str">
        <f t="shared" si="3"/>
        <v/>
      </c>
    </row>
    <row r="384" spans="9:9">
      <c r="I384" s="58" t="str">
        <f t="shared" si="3"/>
        <v/>
      </c>
    </row>
    <row r="385" spans="9:9">
      <c r="I385" s="58" t="str">
        <f t="shared" si="3"/>
        <v/>
      </c>
    </row>
    <row r="386" spans="9:9">
      <c r="I386" s="58" t="str">
        <f t="shared" si="3"/>
        <v/>
      </c>
    </row>
    <row r="387" spans="9:9">
      <c r="I387" s="58" t="str">
        <f t="shared" si="3"/>
        <v/>
      </c>
    </row>
    <row r="388" spans="9:9">
      <c r="I388" s="58" t="str">
        <f t="shared" si="3"/>
        <v/>
      </c>
    </row>
    <row r="389" spans="9:9">
      <c r="I389" s="58" t="str">
        <f t="shared" si="3"/>
        <v/>
      </c>
    </row>
    <row r="390" spans="9:9">
      <c r="I390" s="58" t="str">
        <f t="shared" si="3"/>
        <v/>
      </c>
    </row>
    <row r="391" spans="9:9">
      <c r="I391" s="58" t="str">
        <f t="shared" si="3"/>
        <v/>
      </c>
    </row>
    <row r="392" spans="9:9">
      <c r="I392" s="58" t="str">
        <f t="shared" si="3"/>
        <v/>
      </c>
    </row>
    <row r="393" spans="9:9">
      <c r="I393" s="58" t="str">
        <f t="shared" si="3"/>
        <v/>
      </c>
    </row>
    <row r="394" spans="9:9">
      <c r="I394" s="58" t="str">
        <f t="shared" si="3"/>
        <v/>
      </c>
    </row>
    <row r="395" spans="9:9">
      <c r="I395" s="58" t="str">
        <f t="shared" si="3"/>
        <v/>
      </c>
    </row>
    <row r="396" spans="9:9">
      <c r="I396" s="58" t="str">
        <f t="shared" si="3"/>
        <v/>
      </c>
    </row>
    <row r="397" spans="9:9">
      <c r="I397" s="58" t="str">
        <f t="shared" si="3"/>
        <v/>
      </c>
    </row>
    <row r="398" spans="9:9">
      <c r="I398" s="58" t="str">
        <f t="shared" si="3"/>
        <v/>
      </c>
    </row>
    <row r="399" spans="9:9">
      <c r="I399" s="58" t="str">
        <f t="shared" si="3"/>
        <v/>
      </c>
    </row>
    <row r="400" spans="9:9">
      <c r="I400" s="58" t="str">
        <f t="shared" si="3"/>
        <v/>
      </c>
    </row>
    <row r="401" spans="9:9">
      <c r="I401" s="58" t="str">
        <f t="shared" si="3"/>
        <v/>
      </c>
    </row>
    <row r="402" spans="9:9">
      <c r="I402" s="58" t="str">
        <f t="shared" si="3"/>
        <v/>
      </c>
    </row>
    <row r="403" spans="9:9">
      <c r="I403" s="58" t="str">
        <f t="shared" si="3"/>
        <v/>
      </c>
    </row>
    <row r="404" spans="9:9">
      <c r="I404" s="58" t="str">
        <f t="shared" si="3"/>
        <v/>
      </c>
    </row>
    <row r="405" spans="9:9">
      <c r="I405" s="58" t="str">
        <f t="shared" si="3"/>
        <v/>
      </c>
    </row>
    <row r="406" spans="9:9">
      <c r="I406" s="58" t="str">
        <f t="shared" si="3"/>
        <v/>
      </c>
    </row>
    <row r="407" spans="9:9">
      <c r="I407" s="58" t="str">
        <f t="shared" si="3"/>
        <v/>
      </c>
    </row>
    <row r="408" spans="9:9">
      <c r="I408" s="58" t="str">
        <f t="shared" si="3"/>
        <v/>
      </c>
    </row>
    <row r="409" spans="9:9">
      <c r="I409" s="58" t="str">
        <f t="shared" si="3"/>
        <v/>
      </c>
    </row>
    <row r="410" spans="9:9">
      <c r="I410" s="58" t="str">
        <f t="shared" si="3"/>
        <v/>
      </c>
    </row>
    <row r="411" spans="9:9">
      <c r="I411" s="58" t="str">
        <f t="shared" ref="I411:I474" si="4">+IF(H411="","",F411/G411)</f>
        <v/>
      </c>
    </row>
    <row r="412" spans="9:9">
      <c r="I412" s="58" t="str">
        <f t="shared" si="4"/>
        <v/>
      </c>
    </row>
    <row r="413" spans="9:9">
      <c r="I413" s="58" t="str">
        <f t="shared" si="4"/>
        <v/>
      </c>
    </row>
    <row r="414" spans="9:9">
      <c r="I414" s="58" t="str">
        <f t="shared" si="4"/>
        <v/>
      </c>
    </row>
    <row r="415" spans="9:9">
      <c r="I415" s="58" t="str">
        <f t="shared" si="4"/>
        <v/>
      </c>
    </row>
    <row r="416" spans="9:9">
      <c r="I416" s="58" t="str">
        <f t="shared" si="4"/>
        <v/>
      </c>
    </row>
    <row r="417" spans="9:9">
      <c r="I417" s="58" t="str">
        <f t="shared" si="4"/>
        <v/>
      </c>
    </row>
    <row r="418" spans="9:9">
      <c r="I418" s="58" t="str">
        <f t="shared" si="4"/>
        <v/>
      </c>
    </row>
    <row r="419" spans="9:9">
      <c r="I419" s="58" t="str">
        <f t="shared" si="4"/>
        <v/>
      </c>
    </row>
    <row r="420" spans="9:9">
      <c r="I420" s="58" t="str">
        <f t="shared" si="4"/>
        <v/>
      </c>
    </row>
    <row r="421" spans="9:9">
      <c r="I421" s="58" t="str">
        <f t="shared" si="4"/>
        <v/>
      </c>
    </row>
    <row r="422" spans="9:9">
      <c r="I422" s="58" t="str">
        <f t="shared" si="4"/>
        <v/>
      </c>
    </row>
    <row r="423" spans="9:9">
      <c r="I423" s="58" t="str">
        <f t="shared" si="4"/>
        <v/>
      </c>
    </row>
    <row r="424" spans="9:9">
      <c r="I424" s="58" t="str">
        <f t="shared" si="4"/>
        <v/>
      </c>
    </row>
    <row r="425" spans="9:9">
      <c r="I425" s="58" t="str">
        <f t="shared" si="4"/>
        <v/>
      </c>
    </row>
    <row r="426" spans="9:9">
      <c r="I426" s="58" t="str">
        <f t="shared" si="4"/>
        <v/>
      </c>
    </row>
    <row r="427" spans="9:9">
      <c r="I427" s="58" t="str">
        <f t="shared" si="4"/>
        <v/>
      </c>
    </row>
    <row r="428" spans="9:9">
      <c r="I428" s="58" t="str">
        <f t="shared" si="4"/>
        <v/>
      </c>
    </row>
    <row r="429" spans="9:9">
      <c r="I429" s="58" t="str">
        <f t="shared" si="4"/>
        <v/>
      </c>
    </row>
    <row r="430" spans="9:9">
      <c r="I430" s="58" t="str">
        <f t="shared" si="4"/>
        <v/>
      </c>
    </row>
    <row r="431" spans="9:9">
      <c r="I431" s="58" t="str">
        <f t="shared" si="4"/>
        <v/>
      </c>
    </row>
    <row r="432" spans="9:9">
      <c r="I432" s="58" t="str">
        <f t="shared" si="4"/>
        <v/>
      </c>
    </row>
    <row r="433" spans="9:9">
      <c r="I433" s="58" t="str">
        <f t="shared" si="4"/>
        <v/>
      </c>
    </row>
    <row r="434" spans="9:9">
      <c r="I434" s="58" t="str">
        <f t="shared" si="4"/>
        <v/>
      </c>
    </row>
    <row r="435" spans="9:9">
      <c r="I435" s="58" t="str">
        <f t="shared" si="4"/>
        <v/>
      </c>
    </row>
    <row r="436" spans="9:9">
      <c r="I436" s="58" t="str">
        <f t="shared" si="4"/>
        <v/>
      </c>
    </row>
    <row r="437" spans="9:9">
      <c r="I437" s="58" t="str">
        <f t="shared" si="4"/>
        <v/>
      </c>
    </row>
    <row r="438" spans="9:9">
      <c r="I438" s="58" t="str">
        <f t="shared" si="4"/>
        <v/>
      </c>
    </row>
    <row r="439" spans="9:9">
      <c r="I439" s="58" t="str">
        <f t="shared" si="4"/>
        <v/>
      </c>
    </row>
    <row r="440" spans="9:9">
      <c r="I440" s="58" t="str">
        <f t="shared" si="4"/>
        <v/>
      </c>
    </row>
    <row r="441" spans="9:9">
      <c r="I441" s="58" t="str">
        <f t="shared" si="4"/>
        <v/>
      </c>
    </row>
    <row r="442" spans="9:9">
      <c r="I442" s="58" t="str">
        <f t="shared" si="4"/>
        <v/>
      </c>
    </row>
    <row r="443" spans="9:9">
      <c r="I443" s="58" t="str">
        <f t="shared" si="4"/>
        <v/>
      </c>
    </row>
    <row r="444" spans="9:9">
      <c r="I444" s="58" t="str">
        <f t="shared" si="4"/>
        <v/>
      </c>
    </row>
    <row r="445" spans="9:9">
      <c r="I445" s="58" t="str">
        <f t="shared" si="4"/>
        <v/>
      </c>
    </row>
    <row r="446" spans="9:9">
      <c r="I446" s="58" t="str">
        <f t="shared" si="4"/>
        <v/>
      </c>
    </row>
    <row r="447" spans="9:9">
      <c r="I447" s="58" t="str">
        <f t="shared" si="4"/>
        <v/>
      </c>
    </row>
    <row r="448" spans="9:9">
      <c r="I448" s="58" t="str">
        <f t="shared" si="4"/>
        <v/>
      </c>
    </row>
    <row r="449" spans="9:9">
      <c r="I449" s="58" t="str">
        <f t="shared" si="4"/>
        <v/>
      </c>
    </row>
    <row r="450" spans="9:9">
      <c r="I450" s="58" t="str">
        <f t="shared" si="4"/>
        <v/>
      </c>
    </row>
    <row r="451" spans="9:9">
      <c r="I451" s="58" t="str">
        <f t="shared" si="4"/>
        <v/>
      </c>
    </row>
    <row r="452" spans="9:9">
      <c r="I452" s="58" t="str">
        <f t="shared" si="4"/>
        <v/>
      </c>
    </row>
    <row r="453" spans="9:9">
      <c r="I453" s="58" t="str">
        <f t="shared" si="4"/>
        <v/>
      </c>
    </row>
    <row r="454" spans="9:9">
      <c r="I454" s="58" t="str">
        <f t="shared" si="4"/>
        <v/>
      </c>
    </row>
    <row r="455" spans="9:9">
      <c r="I455" s="58" t="str">
        <f t="shared" si="4"/>
        <v/>
      </c>
    </row>
    <row r="456" spans="9:9">
      <c r="I456" s="58" t="str">
        <f t="shared" si="4"/>
        <v/>
      </c>
    </row>
    <row r="457" spans="9:9">
      <c r="I457" s="58" t="str">
        <f t="shared" si="4"/>
        <v/>
      </c>
    </row>
    <row r="458" spans="9:9">
      <c r="I458" s="58" t="str">
        <f t="shared" si="4"/>
        <v/>
      </c>
    </row>
    <row r="459" spans="9:9">
      <c r="I459" s="58" t="str">
        <f t="shared" si="4"/>
        <v/>
      </c>
    </row>
    <row r="460" spans="9:9">
      <c r="I460" s="58" t="str">
        <f t="shared" si="4"/>
        <v/>
      </c>
    </row>
    <row r="461" spans="9:9">
      <c r="I461" s="58" t="str">
        <f t="shared" si="4"/>
        <v/>
      </c>
    </row>
    <row r="462" spans="9:9">
      <c r="I462" s="58" t="str">
        <f t="shared" si="4"/>
        <v/>
      </c>
    </row>
    <row r="463" spans="9:9">
      <c r="I463" s="58" t="str">
        <f t="shared" si="4"/>
        <v/>
      </c>
    </row>
    <row r="464" spans="9:9">
      <c r="I464" s="58" t="str">
        <f t="shared" si="4"/>
        <v/>
      </c>
    </row>
    <row r="465" spans="9:9">
      <c r="I465" s="58" t="str">
        <f t="shared" si="4"/>
        <v/>
      </c>
    </row>
    <row r="466" spans="9:9">
      <c r="I466" s="58" t="str">
        <f t="shared" si="4"/>
        <v/>
      </c>
    </row>
    <row r="467" spans="9:9">
      <c r="I467" s="58" t="str">
        <f t="shared" si="4"/>
        <v/>
      </c>
    </row>
    <row r="468" spans="9:9">
      <c r="I468" s="58" t="str">
        <f t="shared" si="4"/>
        <v/>
      </c>
    </row>
    <row r="469" spans="9:9">
      <c r="I469" s="58" t="str">
        <f t="shared" si="4"/>
        <v/>
      </c>
    </row>
    <row r="470" spans="9:9">
      <c r="I470" s="58" t="str">
        <f t="shared" si="4"/>
        <v/>
      </c>
    </row>
    <row r="471" spans="9:9">
      <c r="I471" s="58" t="str">
        <f t="shared" si="4"/>
        <v/>
      </c>
    </row>
    <row r="472" spans="9:9">
      <c r="I472" s="58" t="str">
        <f t="shared" si="4"/>
        <v/>
      </c>
    </row>
    <row r="473" spans="9:9">
      <c r="I473" s="58" t="str">
        <f t="shared" si="4"/>
        <v/>
      </c>
    </row>
    <row r="474" spans="9:9">
      <c r="I474" s="58" t="str">
        <f t="shared" si="4"/>
        <v/>
      </c>
    </row>
    <row r="475" spans="9:9">
      <c r="I475" s="58" t="str">
        <f t="shared" ref="I475:I538" si="5">+IF(H475="","",F475/G475)</f>
        <v/>
      </c>
    </row>
    <row r="476" spans="9:9">
      <c r="I476" s="58" t="str">
        <f t="shared" si="5"/>
        <v/>
      </c>
    </row>
    <row r="477" spans="9:9">
      <c r="I477" s="58" t="str">
        <f t="shared" si="5"/>
        <v/>
      </c>
    </row>
    <row r="478" spans="9:9">
      <c r="I478" s="58" t="str">
        <f t="shared" si="5"/>
        <v/>
      </c>
    </row>
    <row r="479" spans="9:9">
      <c r="I479" s="58" t="str">
        <f t="shared" si="5"/>
        <v/>
      </c>
    </row>
    <row r="480" spans="9:9">
      <c r="I480" s="58" t="str">
        <f t="shared" si="5"/>
        <v/>
      </c>
    </row>
    <row r="481" spans="9:9">
      <c r="I481" s="58" t="str">
        <f t="shared" si="5"/>
        <v/>
      </c>
    </row>
    <row r="482" spans="9:9">
      <c r="I482" s="58" t="str">
        <f t="shared" si="5"/>
        <v/>
      </c>
    </row>
    <row r="483" spans="9:9">
      <c r="I483" s="58" t="str">
        <f t="shared" si="5"/>
        <v/>
      </c>
    </row>
    <row r="484" spans="9:9">
      <c r="I484" s="58" t="str">
        <f t="shared" si="5"/>
        <v/>
      </c>
    </row>
    <row r="485" spans="9:9">
      <c r="I485" s="58" t="str">
        <f t="shared" si="5"/>
        <v/>
      </c>
    </row>
    <row r="486" spans="9:9">
      <c r="I486" s="58" t="str">
        <f t="shared" si="5"/>
        <v/>
      </c>
    </row>
    <row r="487" spans="9:9">
      <c r="I487" s="58" t="str">
        <f t="shared" si="5"/>
        <v/>
      </c>
    </row>
    <row r="488" spans="9:9">
      <c r="I488" s="58" t="str">
        <f t="shared" si="5"/>
        <v/>
      </c>
    </row>
    <row r="489" spans="9:9">
      <c r="I489" s="58" t="str">
        <f t="shared" si="5"/>
        <v/>
      </c>
    </row>
    <row r="490" spans="9:9">
      <c r="I490" s="58" t="str">
        <f t="shared" si="5"/>
        <v/>
      </c>
    </row>
    <row r="491" spans="9:9">
      <c r="I491" s="58" t="str">
        <f t="shared" si="5"/>
        <v/>
      </c>
    </row>
    <row r="492" spans="9:9">
      <c r="I492" s="58" t="str">
        <f t="shared" si="5"/>
        <v/>
      </c>
    </row>
    <row r="493" spans="9:9">
      <c r="I493" s="58" t="str">
        <f t="shared" si="5"/>
        <v/>
      </c>
    </row>
    <row r="494" spans="9:9">
      <c r="I494" s="58" t="str">
        <f t="shared" si="5"/>
        <v/>
      </c>
    </row>
    <row r="495" spans="9:9">
      <c r="I495" s="58" t="str">
        <f t="shared" si="5"/>
        <v/>
      </c>
    </row>
    <row r="496" spans="9:9">
      <c r="I496" s="58" t="str">
        <f t="shared" si="5"/>
        <v/>
      </c>
    </row>
    <row r="497" spans="9:9">
      <c r="I497" s="58" t="str">
        <f t="shared" si="5"/>
        <v/>
      </c>
    </row>
    <row r="498" spans="9:9">
      <c r="I498" s="58" t="str">
        <f t="shared" si="5"/>
        <v/>
      </c>
    </row>
    <row r="499" spans="9:9">
      <c r="I499" s="58" t="str">
        <f t="shared" si="5"/>
        <v/>
      </c>
    </row>
    <row r="500" spans="9:9">
      <c r="I500" s="58" t="str">
        <f t="shared" si="5"/>
        <v/>
      </c>
    </row>
    <row r="501" spans="9:9">
      <c r="I501" s="58" t="str">
        <f t="shared" si="5"/>
        <v/>
      </c>
    </row>
    <row r="502" spans="9:9">
      <c r="I502" s="58" t="str">
        <f t="shared" si="5"/>
        <v/>
      </c>
    </row>
    <row r="503" spans="9:9">
      <c r="I503" s="58" t="str">
        <f t="shared" si="5"/>
        <v/>
      </c>
    </row>
    <row r="504" spans="9:9">
      <c r="I504" s="58" t="str">
        <f t="shared" si="5"/>
        <v/>
      </c>
    </row>
    <row r="505" spans="9:9">
      <c r="I505" s="58" t="str">
        <f t="shared" si="5"/>
        <v/>
      </c>
    </row>
    <row r="506" spans="9:9">
      <c r="I506" s="58" t="str">
        <f t="shared" si="5"/>
        <v/>
      </c>
    </row>
    <row r="507" spans="9:9">
      <c r="I507" s="58" t="str">
        <f t="shared" si="5"/>
        <v/>
      </c>
    </row>
    <row r="508" spans="9:9">
      <c r="I508" s="58" t="str">
        <f t="shared" si="5"/>
        <v/>
      </c>
    </row>
    <row r="509" spans="9:9">
      <c r="I509" s="58" t="str">
        <f t="shared" si="5"/>
        <v/>
      </c>
    </row>
    <row r="510" spans="9:9">
      <c r="I510" s="58" t="str">
        <f t="shared" si="5"/>
        <v/>
      </c>
    </row>
    <row r="511" spans="9:9">
      <c r="I511" s="58" t="str">
        <f t="shared" si="5"/>
        <v/>
      </c>
    </row>
    <row r="512" spans="9:9">
      <c r="I512" s="58" t="str">
        <f t="shared" si="5"/>
        <v/>
      </c>
    </row>
    <row r="513" spans="9:9">
      <c r="I513" s="58" t="str">
        <f t="shared" si="5"/>
        <v/>
      </c>
    </row>
    <row r="514" spans="9:9">
      <c r="I514" s="58" t="str">
        <f t="shared" si="5"/>
        <v/>
      </c>
    </row>
    <row r="515" spans="9:9">
      <c r="I515" s="58" t="str">
        <f t="shared" si="5"/>
        <v/>
      </c>
    </row>
    <row r="516" spans="9:9">
      <c r="I516" s="58" t="str">
        <f t="shared" si="5"/>
        <v/>
      </c>
    </row>
    <row r="517" spans="9:9">
      <c r="I517" s="58" t="str">
        <f t="shared" si="5"/>
        <v/>
      </c>
    </row>
    <row r="518" spans="9:9">
      <c r="I518" s="58" t="str">
        <f t="shared" si="5"/>
        <v/>
      </c>
    </row>
    <row r="519" spans="9:9">
      <c r="I519" s="58" t="str">
        <f t="shared" si="5"/>
        <v/>
      </c>
    </row>
    <row r="520" spans="9:9">
      <c r="I520" s="58" t="str">
        <f t="shared" si="5"/>
        <v/>
      </c>
    </row>
    <row r="521" spans="9:9">
      <c r="I521" s="58" t="str">
        <f t="shared" si="5"/>
        <v/>
      </c>
    </row>
    <row r="522" spans="9:9">
      <c r="I522" s="58" t="str">
        <f t="shared" si="5"/>
        <v/>
      </c>
    </row>
    <row r="523" spans="9:9">
      <c r="I523" s="58" t="str">
        <f t="shared" si="5"/>
        <v/>
      </c>
    </row>
    <row r="524" spans="9:9">
      <c r="I524" s="58" t="str">
        <f t="shared" si="5"/>
        <v/>
      </c>
    </row>
    <row r="525" spans="9:9">
      <c r="I525" s="58" t="str">
        <f t="shared" si="5"/>
        <v/>
      </c>
    </row>
    <row r="526" spans="9:9">
      <c r="I526" s="58" t="str">
        <f t="shared" si="5"/>
        <v/>
      </c>
    </row>
    <row r="527" spans="9:9">
      <c r="I527" s="58" t="str">
        <f t="shared" si="5"/>
        <v/>
      </c>
    </row>
    <row r="528" spans="9:9">
      <c r="I528" s="58" t="str">
        <f t="shared" si="5"/>
        <v/>
      </c>
    </row>
    <row r="529" spans="9:9">
      <c r="I529" s="58" t="str">
        <f t="shared" si="5"/>
        <v/>
      </c>
    </row>
    <row r="530" spans="9:9">
      <c r="I530" s="58" t="str">
        <f t="shared" si="5"/>
        <v/>
      </c>
    </row>
    <row r="531" spans="9:9">
      <c r="I531" s="58" t="str">
        <f t="shared" si="5"/>
        <v/>
      </c>
    </row>
    <row r="532" spans="9:9">
      <c r="I532" s="58" t="str">
        <f t="shared" si="5"/>
        <v/>
      </c>
    </row>
    <row r="533" spans="9:9">
      <c r="I533" s="58" t="str">
        <f t="shared" si="5"/>
        <v/>
      </c>
    </row>
    <row r="534" spans="9:9">
      <c r="I534" s="58" t="str">
        <f t="shared" si="5"/>
        <v/>
      </c>
    </row>
    <row r="535" spans="9:9">
      <c r="I535" s="58" t="str">
        <f t="shared" si="5"/>
        <v/>
      </c>
    </row>
    <row r="536" spans="9:9">
      <c r="I536" s="58" t="str">
        <f t="shared" si="5"/>
        <v/>
      </c>
    </row>
    <row r="537" spans="9:9">
      <c r="I537" s="58" t="str">
        <f t="shared" si="5"/>
        <v/>
      </c>
    </row>
    <row r="538" spans="9:9">
      <c r="I538" s="58" t="str">
        <f t="shared" si="5"/>
        <v/>
      </c>
    </row>
    <row r="539" spans="9:9">
      <c r="I539" s="58" t="str">
        <f t="shared" ref="I539:I602" si="6">+IF(H539="","",F539/G539)</f>
        <v/>
      </c>
    </row>
    <row r="540" spans="9:9">
      <c r="I540" s="58" t="str">
        <f t="shared" si="6"/>
        <v/>
      </c>
    </row>
    <row r="541" spans="9:9">
      <c r="I541" s="58" t="str">
        <f t="shared" si="6"/>
        <v/>
      </c>
    </row>
    <row r="542" spans="9:9">
      <c r="I542" s="58" t="str">
        <f t="shared" si="6"/>
        <v/>
      </c>
    </row>
    <row r="543" spans="9:9">
      <c r="I543" s="58" t="str">
        <f t="shared" si="6"/>
        <v/>
      </c>
    </row>
    <row r="544" spans="9:9">
      <c r="I544" s="58" t="str">
        <f t="shared" si="6"/>
        <v/>
      </c>
    </row>
    <row r="545" spans="9:9">
      <c r="I545" s="58" t="str">
        <f t="shared" si="6"/>
        <v/>
      </c>
    </row>
    <row r="546" spans="9:9">
      <c r="I546" s="58" t="str">
        <f t="shared" si="6"/>
        <v/>
      </c>
    </row>
    <row r="547" spans="9:9">
      <c r="I547" s="58" t="str">
        <f t="shared" si="6"/>
        <v/>
      </c>
    </row>
    <row r="548" spans="9:9">
      <c r="I548" s="58" t="str">
        <f t="shared" si="6"/>
        <v/>
      </c>
    </row>
    <row r="549" spans="9:9">
      <c r="I549" s="58" t="str">
        <f t="shared" si="6"/>
        <v/>
      </c>
    </row>
    <row r="550" spans="9:9">
      <c r="I550" s="58" t="str">
        <f t="shared" si="6"/>
        <v/>
      </c>
    </row>
    <row r="551" spans="9:9">
      <c r="I551" s="58" t="str">
        <f t="shared" si="6"/>
        <v/>
      </c>
    </row>
    <row r="552" spans="9:9">
      <c r="I552" s="58" t="str">
        <f t="shared" si="6"/>
        <v/>
      </c>
    </row>
    <row r="553" spans="9:9">
      <c r="I553" s="58" t="str">
        <f t="shared" si="6"/>
        <v/>
      </c>
    </row>
    <row r="554" spans="9:9">
      <c r="I554" s="58" t="str">
        <f t="shared" si="6"/>
        <v/>
      </c>
    </row>
    <row r="555" spans="9:9">
      <c r="I555" s="58" t="str">
        <f t="shared" si="6"/>
        <v/>
      </c>
    </row>
    <row r="556" spans="9:9">
      <c r="I556" s="58" t="str">
        <f t="shared" si="6"/>
        <v/>
      </c>
    </row>
    <row r="557" spans="9:9">
      <c r="I557" s="58" t="str">
        <f t="shared" si="6"/>
        <v/>
      </c>
    </row>
    <row r="558" spans="9:9">
      <c r="I558" s="58" t="str">
        <f t="shared" si="6"/>
        <v/>
      </c>
    </row>
    <row r="559" spans="9:9">
      <c r="I559" s="58" t="str">
        <f t="shared" si="6"/>
        <v/>
      </c>
    </row>
    <row r="560" spans="9:9">
      <c r="I560" s="58" t="str">
        <f t="shared" si="6"/>
        <v/>
      </c>
    </row>
    <row r="561" spans="9:9">
      <c r="I561" s="58" t="str">
        <f t="shared" si="6"/>
        <v/>
      </c>
    </row>
    <row r="562" spans="9:9">
      <c r="I562" s="58" t="str">
        <f t="shared" si="6"/>
        <v/>
      </c>
    </row>
    <row r="563" spans="9:9">
      <c r="I563" s="58" t="str">
        <f t="shared" si="6"/>
        <v/>
      </c>
    </row>
    <row r="564" spans="9:9">
      <c r="I564" s="58" t="str">
        <f t="shared" si="6"/>
        <v/>
      </c>
    </row>
    <row r="565" spans="9:9">
      <c r="I565" s="58" t="str">
        <f t="shared" si="6"/>
        <v/>
      </c>
    </row>
    <row r="566" spans="9:9">
      <c r="I566" s="58" t="str">
        <f t="shared" si="6"/>
        <v/>
      </c>
    </row>
    <row r="567" spans="9:9">
      <c r="I567" s="58" t="str">
        <f t="shared" si="6"/>
        <v/>
      </c>
    </row>
    <row r="568" spans="9:9">
      <c r="I568" s="58" t="str">
        <f t="shared" si="6"/>
        <v/>
      </c>
    </row>
    <row r="569" spans="9:9">
      <c r="I569" s="58" t="str">
        <f t="shared" si="6"/>
        <v/>
      </c>
    </row>
    <row r="570" spans="9:9">
      <c r="I570" s="58" t="str">
        <f t="shared" si="6"/>
        <v/>
      </c>
    </row>
    <row r="571" spans="9:9">
      <c r="I571" s="58" t="str">
        <f t="shared" si="6"/>
        <v/>
      </c>
    </row>
    <row r="572" spans="9:9">
      <c r="I572" s="58" t="str">
        <f t="shared" si="6"/>
        <v/>
      </c>
    </row>
    <row r="573" spans="9:9">
      <c r="I573" s="58" t="str">
        <f t="shared" si="6"/>
        <v/>
      </c>
    </row>
    <row r="574" spans="9:9">
      <c r="I574" s="58" t="str">
        <f t="shared" si="6"/>
        <v/>
      </c>
    </row>
    <row r="575" spans="9:9">
      <c r="I575" s="58" t="str">
        <f t="shared" si="6"/>
        <v/>
      </c>
    </row>
    <row r="576" spans="9:9">
      <c r="I576" s="58" t="str">
        <f t="shared" si="6"/>
        <v/>
      </c>
    </row>
    <row r="577" spans="9:9">
      <c r="I577" s="58" t="str">
        <f t="shared" si="6"/>
        <v/>
      </c>
    </row>
    <row r="578" spans="9:9">
      <c r="I578" s="58" t="str">
        <f t="shared" si="6"/>
        <v/>
      </c>
    </row>
    <row r="579" spans="9:9">
      <c r="I579" s="58" t="str">
        <f t="shared" si="6"/>
        <v/>
      </c>
    </row>
    <row r="580" spans="9:9">
      <c r="I580" s="58" t="str">
        <f t="shared" si="6"/>
        <v/>
      </c>
    </row>
    <row r="581" spans="9:9">
      <c r="I581" s="58" t="str">
        <f t="shared" si="6"/>
        <v/>
      </c>
    </row>
    <row r="582" spans="9:9">
      <c r="I582" s="58" t="str">
        <f t="shared" si="6"/>
        <v/>
      </c>
    </row>
    <row r="583" spans="9:9">
      <c r="I583" s="58" t="str">
        <f t="shared" si="6"/>
        <v/>
      </c>
    </row>
    <row r="584" spans="9:9">
      <c r="I584" s="58" t="str">
        <f t="shared" si="6"/>
        <v/>
      </c>
    </row>
    <row r="585" spans="9:9">
      <c r="I585" s="58" t="str">
        <f t="shared" si="6"/>
        <v/>
      </c>
    </row>
    <row r="586" spans="9:9">
      <c r="I586" s="58" t="str">
        <f t="shared" si="6"/>
        <v/>
      </c>
    </row>
    <row r="587" spans="9:9">
      <c r="I587" s="58" t="str">
        <f t="shared" si="6"/>
        <v/>
      </c>
    </row>
    <row r="588" spans="9:9">
      <c r="I588" s="58" t="str">
        <f t="shared" si="6"/>
        <v/>
      </c>
    </row>
    <row r="589" spans="9:9">
      <c r="I589" s="58" t="str">
        <f t="shared" si="6"/>
        <v/>
      </c>
    </row>
    <row r="590" spans="9:9">
      <c r="I590" s="58" t="str">
        <f t="shared" si="6"/>
        <v/>
      </c>
    </row>
    <row r="591" spans="9:9">
      <c r="I591" s="58" t="str">
        <f t="shared" si="6"/>
        <v/>
      </c>
    </row>
    <row r="592" spans="9:9">
      <c r="I592" s="58" t="str">
        <f t="shared" si="6"/>
        <v/>
      </c>
    </row>
    <row r="593" spans="9:9">
      <c r="I593" s="58" t="str">
        <f t="shared" si="6"/>
        <v/>
      </c>
    </row>
    <row r="594" spans="9:9">
      <c r="I594" s="58" t="str">
        <f t="shared" si="6"/>
        <v/>
      </c>
    </row>
    <row r="595" spans="9:9">
      <c r="I595" s="58" t="str">
        <f t="shared" si="6"/>
        <v/>
      </c>
    </row>
    <row r="596" spans="9:9">
      <c r="I596" s="58" t="str">
        <f t="shared" si="6"/>
        <v/>
      </c>
    </row>
    <row r="597" spans="9:9">
      <c r="I597" s="58" t="str">
        <f t="shared" si="6"/>
        <v/>
      </c>
    </row>
    <row r="598" spans="9:9">
      <c r="I598" s="58" t="str">
        <f t="shared" si="6"/>
        <v/>
      </c>
    </row>
    <row r="599" spans="9:9">
      <c r="I599" s="58" t="str">
        <f t="shared" si="6"/>
        <v/>
      </c>
    </row>
    <row r="600" spans="9:9">
      <c r="I600" s="58" t="str">
        <f t="shared" si="6"/>
        <v/>
      </c>
    </row>
    <row r="601" spans="9:9">
      <c r="I601" s="58" t="str">
        <f t="shared" si="6"/>
        <v/>
      </c>
    </row>
    <row r="602" spans="9:9">
      <c r="I602" s="58" t="str">
        <f t="shared" si="6"/>
        <v/>
      </c>
    </row>
    <row r="603" spans="9:9">
      <c r="I603" s="58" t="str">
        <f t="shared" ref="I603:I666" si="7">+IF(H603="","",F603/G603)</f>
        <v/>
      </c>
    </row>
    <row r="604" spans="9:9">
      <c r="I604" s="58" t="str">
        <f t="shared" si="7"/>
        <v/>
      </c>
    </row>
    <row r="605" spans="9:9">
      <c r="I605" s="58" t="str">
        <f t="shared" si="7"/>
        <v/>
      </c>
    </row>
    <row r="606" spans="9:9">
      <c r="I606" s="58" t="str">
        <f t="shared" si="7"/>
        <v/>
      </c>
    </row>
    <row r="607" spans="9:9">
      <c r="I607" s="58" t="str">
        <f t="shared" si="7"/>
        <v/>
      </c>
    </row>
    <row r="608" spans="9:9">
      <c r="I608" s="58" t="str">
        <f t="shared" si="7"/>
        <v/>
      </c>
    </row>
    <row r="609" spans="9:9">
      <c r="I609" s="58" t="str">
        <f t="shared" si="7"/>
        <v/>
      </c>
    </row>
    <row r="610" spans="9:9">
      <c r="I610" s="58" t="str">
        <f t="shared" si="7"/>
        <v/>
      </c>
    </row>
    <row r="611" spans="9:9">
      <c r="I611" s="58" t="str">
        <f t="shared" si="7"/>
        <v/>
      </c>
    </row>
    <row r="612" spans="9:9">
      <c r="I612" s="58" t="str">
        <f t="shared" si="7"/>
        <v/>
      </c>
    </row>
    <row r="613" spans="9:9">
      <c r="I613" s="58" t="str">
        <f t="shared" si="7"/>
        <v/>
      </c>
    </row>
    <row r="614" spans="9:9">
      <c r="I614" s="58" t="str">
        <f t="shared" si="7"/>
        <v/>
      </c>
    </row>
    <row r="615" spans="9:9">
      <c r="I615" s="58" t="str">
        <f t="shared" si="7"/>
        <v/>
      </c>
    </row>
    <row r="616" spans="9:9">
      <c r="I616" s="58" t="str">
        <f t="shared" si="7"/>
        <v/>
      </c>
    </row>
    <row r="617" spans="9:9">
      <c r="I617" s="58" t="str">
        <f t="shared" si="7"/>
        <v/>
      </c>
    </row>
    <row r="618" spans="9:9">
      <c r="I618" s="58" t="str">
        <f t="shared" si="7"/>
        <v/>
      </c>
    </row>
    <row r="619" spans="9:9">
      <c r="I619" s="58" t="str">
        <f t="shared" si="7"/>
        <v/>
      </c>
    </row>
    <row r="620" spans="9:9">
      <c r="I620" s="58" t="str">
        <f t="shared" si="7"/>
        <v/>
      </c>
    </row>
    <row r="621" spans="9:9">
      <c r="I621" s="58" t="str">
        <f t="shared" si="7"/>
        <v/>
      </c>
    </row>
    <row r="622" spans="9:9">
      <c r="I622" s="58" t="str">
        <f t="shared" si="7"/>
        <v/>
      </c>
    </row>
    <row r="623" spans="9:9">
      <c r="I623" s="58" t="str">
        <f t="shared" si="7"/>
        <v/>
      </c>
    </row>
    <row r="624" spans="9:9">
      <c r="I624" s="58" t="str">
        <f t="shared" si="7"/>
        <v/>
      </c>
    </row>
    <row r="625" spans="9:9">
      <c r="I625" s="58" t="str">
        <f t="shared" si="7"/>
        <v/>
      </c>
    </row>
    <row r="626" spans="9:9">
      <c r="I626" s="58" t="str">
        <f t="shared" si="7"/>
        <v/>
      </c>
    </row>
    <row r="627" spans="9:9">
      <c r="I627" s="58" t="str">
        <f t="shared" si="7"/>
        <v/>
      </c>
    </row>
    <row r="628" spans="9:9">
      <c r="I628" s="58" t="str">
        <f t="shared" si="7"/>
        <v/>
      </c>
    </row>
    <row r="629" spans="9:9">
      <c r="I629" s="58" t="str">
        <f t="shared" si="7"/>
        <v/>
      </c>
    </row>
    <row r="630" spans="9:9">
      <c r="I630" s="58" t="str">
        <f t="shared" si="7"/>
        <v/>
      </c>
    </row>
    <row r="631" spans="9:9">
      <c r="I631" s="58" t="str">
        <f t="shared" si="7"/>
        <v/>
      </c>
    </row>
    <row r="632" spans="9:9">
      <c r="I632" s="58" t="str">
        <f t="shared" si="7"/>
        <v/>
      </c>
    </row>
    <row r="633" spans="9:9">
      <c r="I633" s="58" t="str">
        <f t="shared" si="7"/>
        <v/>
      </c>
    </row>
    <row r="634" spans="9:9">
      <c r="I634" s="58" t="str">
        <f t="shared" si="7"/>
        <v/>
      </c>
    </row>
    <row r="635" spans="9:9">
      <c r="I635" s="58" t="str">
        <f t="shared" si="7"/>
        <v/>
      </c>
    </row>
    <row r="636" spans="9:9">
      <c r="I636" s="58" t="str">
        <f t="shared" si="7"/>
        <v/>
      </c>
    </row>
    <row r="637" spans="9:9">
      <c r="I637" s="58" t="str">
        <f t="shared" si="7"/>
        <v/>
      </c>
    </row>
    <row r="638" spans="9:9">
      <c r="I638" s="58" t="str">
        <f t="shared" si="7"/>
        <v/>
      </c>
    </row>
    <row r="639" spans="9:9">
      <c r="I639" s="58" t="str">
        <f t="shared" si="7"/>
        <v/>
      </c>
    </row>
    <row r="640" spans="9:9">
      <c r="I640" s="58" t="str">
        <f t="shared" si="7"/>
        <v/>
      </c>
    </row>
    <row r="641" spans="9:9">
      <c r="I641" s="58" t="str">
        <f t="shared" si="7"/>
        <v/>
      </c>
    </row>
    <row r="642" spans="9:9">
      <c r="I642" s="58" t="str">
        <f t="shared" si="7"/>
        <v/>
      </c>
    </row>
    <row r="643" spans="9:9">
      <c r="I643" s="58" t="str">
        <f t="shared" si="7"/>
        <v/>
      </c>
    </row>
    <row r="644" spans="9:9">
      <c r="I644" s="58" t="str">
        <f t="shared" si="7"/>
        <v/>
      </c>
    </row>
    <row r="645" spans="9:9">
      <c r="I645" s="58" t="str">
        <f t="shared" si="7"/>
        <v/>
      </c>
    </row>
    <row r="646" spans="9:9">
      <c r="I646" s="58" t="str">
        <f t="shared" si="7"/>
        <v/>
      </c>
    </row>
    <row r="647" spans="9:9">
      <c r="I647" s="58" t="str">
        <f t="shared" si="7"/>
        <v/>
      </c>
    </row>
    <row r="648" spans="9:9">
      <c r="I648" s="58" t="str">
        <f t="shared" si="7"/>
        <v/>
      </c>
    </row>
    <row r="649" spans="9:9">
      <c r="I649" s="58" t="str">
        <f t="shared" si="7"/>
        <v/>
      </c>
    </row>
    <row r="650" spans="9:9">
      <c r="I650" s="58" t="str">
        <f t="shared" si="7"/>
        <v/>
      </c>
    </row>
    <row r="651" spans="9:9">
      <c r="I651" s="58" t="str">
        <f t="shared" si="7"/>
        <v/>
      </c>
    </row>
    <row r="652" spans="9:9">
      <c r="I652" s="58" t="str">
        <f t="shared" si="7"/>
        <v/>
      </c>
    </row>
    <row r="653" spans="9:9">
      <c r="I653" s="58" t="str">
        <f t="shared" si="7"/>
        <v/>
      </c>
    </row>
    <row r="654" spans="9:9">
      <c r="I654" s="58" t="str">
        <f t="shared" si="7"/>
        <v/>
      </c>
    </row>
    <row r="655" spans="9:9">
      <c r="I655" s="58" t="str">
        <f t="shared" si="7"/>
        <v/>
      </c>
    </row>
    <row r="656" spans="9:9">
      <c r="I656" s="58" t="str">
        <f t="shared" si="7"/>
        <v/>
      </c>
    </row>
    <row r="657" spans="9:9">
      <c r="I657" s="58" t="str">
        <f t="shared" si="7"/>
        <v/>
      </c>
    </row>
    <row r="658" spans="9:9">
      <c r="I658" s="58" t="str">
        <f t="shared" si="7"/>
        <v/>
      </c>
    </row>
    <row r="659" spans="9:9">
      <c r="I659" s="58" t="str">
        <f t="shared" si="7"/>
        <v/>
      </c>
    </row>
    <row r="660" spans="9:9">
      <c r="I660" s="58" t="str">
        <f t="shared" si="7"/>
        <v/>
      </c>
    </row>
    <row r="661" spans="9:9">
      <c r="I661" s="58" t="str">
        <f t="shared" si="7"/>
        <v/>
      </c>
    </row>
    <row r="662" spans="9:9">
      <c r="I662" s="58" t="str">
        <f t="shared" si="7"/>
        <v/>
      </c>
    </row>
    <row r="663" spans="9:9">
      <c r="I663" s="58" t="str">
        <f t="shared" si="7"/>
        <v/>
      </c>
    </row>
    <row r="664" spans="9:9">
      <c r="I664" s="58" t="str">
        <f t="shared" si="7"/>
        <v/>
      </c>
    </row>
    <row r="665" spans="9:9">
      <c r="I665" s="58" t="str">
        <f t="shared" si="7"/>
        <v/>
      </c>
    </row>
    <row r="666" spans="9:9">
      <c r="I666" s="58" t="str">
        <f t="shared" si="7"/>
        <v/>
      </c>
    </row>
    <row r="667" spans="9:9">
      <c r="I667" s="58" t="str">
        <f t="shared" ref="I667:I730" si="8">+IF(H667="","",F667/G667)</f>
        <v/>
      </c>
    </row>
    <row r="668" spans="9:9">
      <c r="I668" s="58" t="str">
        <f t="shared" si="8"/>
        <v/>
      </c>
    </row>
    <row r="669" spans="9:9">
      <c r="I669" s="58" t="str">
        <f t="shared" si="8"/>
        <v/>
      </c>
    </row>
    <row r="670" spans="9:9">
      <c r="I670" s="58" t="str">
        <f t="shared" si="8"/>
        <v/>
      </c>
    </row>
    <row r="671" spans="9:9">
      <c r="I671" s="58" t="str">
        <f t="shared" si="8"/>
        <v/>
      </c>
    </row>
    <row r="672" spans="9:9">
      <c r="I672" s="58" t="str">
        <f t="shared" si="8"/>
        <v/>
      </c>
    </row>
    <row r="673" spans="9:9">
      <c r="I673" s="58" t="str">
        <f t="shared" si="8"/>
        <v/>
      </c>
    </row>
    <row r="674" spans="9:9">
      <c r="I674" s="58" t="str">
        <f t="shared" si="8"/>
        <v/>
      </c>
    </row>
    <row r="675" spans="9:9">
      <c r="I675" s="58" t="str">
        <f t="shared" si="8"/>
        <v/>
      </c>
    </row>
    <row r="676" spans="9:9">
      <c r="I676" s="58" t="str">
        <f t="shared" si="8"/>
        <v/>
      </c>
    </row>
    <row r="677" spans="9:9">
      <c r="I677" s="58" t="str">
        <f t="shared" si="8"/>
        <v/>
      </c>
    </row>
    <row r="678" spans="9:9">
      <c r="I678" s="58" t="str">
        <f t="shared" si="8"/>
        <v/>
      </c>
    </row>
    <row r="679" spans="9:9">
      <c r="I679" s="58" t="str">
        <f t="shared" si="8"/>
        <v/>
      </c>
    </row>
    <row r="680" spans="9:9">
      <c r="I680" s="58" t="str">
        <f t="shared" si="8"/>
        <v/>
      </c>
    </row>
    <row r="681" spans="9:9">
      <c r="I681" s="58" t="str">
        <f t="shared" si="8"/>
        <v/>
      </c>
    </row>
    <row r="682" spans="9:9">
      <c r="I682" s="58" t="str">
        <f t="shared" si="8"/>
        <v/>
      </c>
    </row>
    <row r="683" spans="9:9">
      <c r="I683" s="58" t="str">
        <f t="shared" si="8"/>
        <v/>
      </c>
    </row>
    <row r="684" spans="9:9">
      <c r="I684" s="58" t="str">
        <f t="shared" si="8"/>
        <v/>
      </c>
    </row>
    <row r="685" spans="9:9">
      <c r="I685" s="58" t="str">
        <f t="shared" si="8"/>
        <v/>
      </c>
    </row>
    <row r="686" spans="9:9">
      <c r="I686" s="58" t="str">
        <f t="shared" si="8"/>
        <v/>
      </c>
    </row>
    <row r="687" spans="9:9">
      <c r="I687" s="58" t="str">
        <f t="shared" si="8"/>
        <v/>
      </c>
    </row>
    <row r="688" spans="9:9">
      <c r="I688" s="58" t="str">
        <f t="shared" si="8"/>
        <v/>
      </c>
    </row>
    <row r="689" spans="9:9">
      <c r="I689" s="58" t="str">
        <f t="shared" si="8"/>
        <v/>
      </c>
    </row>
    <row r="690" spans="9:9">
      <c r="I690" s="58" t="str">
        <f t="shared" si="8"/>
        <v/>
      </c>
    </row>
    <row r="691" spans="9:9">
      <c r="I691" s="58" t="str">
        <f t="shared" si="8"/>
        <v/>
      </c>
    </row>
    <row r="692" spans="9:9">
      <c r="I692" s="58" t="str">
        <f t="shared" si="8"/>
        <v/>
      </c>
    </row>
    <row r="693" spans="9:9">
      <c r="I693" s="58" t="str">
        <f t="shared" si="8"/>
        <v/>
      </c>
    </row>
    <row r="694" spans="9:9">
      <c r="I694" s="58" t="str">
        <f t="shared" si="8"/>
        <v/>
      </c>
    </row>
    <row r="695" spans="9:9">
      <c r="I695" s="58" t="str">
        <f t="shared" si="8"/>
        <v/>
      </c>
    </row>
    <row r="696" spans="9:9">
      <c r="I696" s="58" t="str">
        <f t="shared" si="8"/>
        <v/>
      </c>
    </row>
    <row r="697" spans="9:9">
      <c r="I697" s="58" t="str">
        <f t="shared" si="8"/>
        <v/>
      </c>
    </row>
    <row r="698" spans="9:9">
      <c r="I698" s="58" t="str">
        <f t="shared" si="8"/>
        <v/>
      </c>
    </row>
    <row r="699" spans="9:9">
      <c r="I699" s="58" t="str">
        <f t="shared" si="8"/>
        <v/>
      </c>
    </row>
    <row r="700" spans="9:9">
      <c r="I700" s="58" t="str">
        <f t="shared" si="8"/>
        <v/>
      </c>
    </row>
    <row r="701" spans="9:9">
      <c r="I701" s="58" t="str">
        <f t="shared" si="8"/>
        <v/>
      </c>
    </row>
    <row r="702" spans="9:9">
      <c r="I702" s="58" t="str">
        <f t="shared" si="8"/>
        <v/>
      </c>
    </row>
    <row r="703" spans="9:9">
      <c r="I703" s="58" t="str">
        <f t="shared" si="8"/>
        <v/>
      </c>
    </row>
    <row r="704" spans="9:9">
      <c r="I704" s="58" t="str">
        <f t="shared" si="8"/>
        <v/>
      </c>
    </row>
    <row r="705" spans="9:9">
      <c r="I705" s="58" t="str">
        <f t="shared" si="8"/>
        <v/>
      </c>
    </row>
    <row r="706" spans="9:9">
      <c r="I706" s="58" t="str">
        <f t="shared" si="8"/>
        <v/>
      </c>
    </row>
    <row r="707" spans="9:9">
      <c r="I707" s="58" t="str">
        <f t="shared" si="8"/>
        <v/>
      </c>
    </row>
    <row r="708" spans="9:9">
      <c r="I708" s="58" t="str">
        <f t="shared" si="8"/>
        <v/>
      </c>
    </row>
    <row r="709" spans="9:9">
      <c r="I709" s="58" t="str">
        <f t="shared" si="8"/>
        <v/>
      </c>
    </row>
    <row r="710" spans="9:9">
      <c r="I710" s="58" t="str">
        <f t="shared" si="8"/>
        <v/>
      </c>
    </row>
    <row r="711" spans="9:9">
      <c r="I711" s="58" t="str">
        <f t="shared" si="8"/>
        <v/>
      </c>
    </row>
    <row r="712" spans="9:9">
      <c r="I712" s="58" t="str">
        <f t="shared" si="8"/>
        <v/>
      </c>
    </row>
    <row r="713" spans="9:9">
      <c r="I713" s="58" t="str">
        <f t="shared" si="8"/>
        <v/>
      </c>
    </row>
    <row r="714" spans="9:9">
      <c r="I714" s="58" t="str">
        <f t="shared" si="8"/>
        <v/>
      </c>
    </row>
    <row r="715" spans="9:9">
      <c r="I715" s="58" t="str">
        <f t="shared" si="8"/>
        <v/>
      </c>
    </row>
    <row r="716" spans="9:9">
      <c r="I716" s="58" t="str">
        <f t="shared" si="8"/>
        <v/>
      </c>
    </row>
    <row r="717" spans="9:9">
      <c r="I717" s="58" t="str">
        <f t="shared" si="8"/>
        <v/>
      </c>
    </row>
    <row r="718" spans="9:9">
      <c r="I718" s="58" t="str">
        <f t="shared" si="8"/>
        <v/>
      </c>
    </row>
    <row r="719" spans="9:9">
      <c r="I719" s="58" t="str">
        <f t="shared" si="8"/>
        <v/>
      </c>
    </row>
    <row r="720" spans="9:9">
      <c r="I720" s="58" t="str">
        <f t="shared" si="8"/>
        <v/>
      </c>
    </row>
    <row r="721" spans="9:9">
      <c r="I721" s="58" t="str">
        <f t="shared" si="8"/>
        <v/>
      </c>
    </row>
    <row r="722" spans="9:9">
      <c r="I722" s="58" t="str">
        <f t="shared" si="8"/>
        <v/>
      </c>
    </row>
    <row r="723" spans="9:9">
      <c r="I723" s="58" t="str">
        <f t="shared" si="8"/>
        <v/>
      </c>
    </row>
    <row r="724" spans="9:9">
      <c r="I724" s="58" t="str">
        <f t="shared" si="8"/>
        <v/>
      </c>
    </row>
    <row r="725" spans="9:9">
      <c r="I725" s="58" t="str">
        <f t="shared" si="8"/>
        <v/>
      </c>
    </row>
    <row r="726" spans="9:9">
      <c r="I726" s="58" t="str">
        <f t="shared" si="8"/>
        <v/>
      </c>
    </row>
    <row r="727" spans="9:9">
      <c r="I727" s="58" t="str">
        <f t="shared" si="8"/>
        <v/>
      </c>
    </row>
    <row r="728" spans="9:9">
      <c r="I728" s="58" t="str">
        <f t="shared" si="8"/>
        <v/>
      </c>
    </row>
    <row r="729" spans="9:9">
      <c r="I729" s="58" t="str">
        <f t="shared" si="8"/>
        <v/>
      </c>
    </row>
    <row r="730" spans="9:9">
      <c r="I730" s="58" t="str">
        <f t="shared" si="8"/>
        <v/>
      </c>
    </row>
    <row r="731" spans="9:9">
      <c r="I731" s="58" t="str">
        <f t="shared" ref="I731:I794" si="9">+IF(H731="","",F731/G731)</f>
        <v/>
      </c>
    </row>
    <row r="732" spans="9:9">
      <c r="I732" s="58" t="str">
        <f t="shared" si="9"/>
        <v/>
      </c>
    </row>
    <row r="733" spans="9:9">
      <c r="I733" s="58" t="str">
        <f t="shared" si="9"/>
        <v/>
      </c>
    </row>
    <row r="734" spans="9:9">
      <c r="I734" s="58" t="str">
        <f t="shared" si="9"/>
        <v/>
      </c>
    </row>
    <row r="735" spans="9:9">
      <c r="I735" s="58" t="str">
        <f t="shared" si="9"/>
        <v/>
      </c>
    </row>
    <row r="736" spans="9:9">
      <c r="I736" s="58" t="str">
        <f t="shared" si="9"/>
        <v/>
      </c>
    </row>
    <row r="737" spans="9:9">
      <c r="I737" s="58" t="str">
        <f t="shared" si="9"/>
        <v/>
      </c>
    </row>
    <row r="738" spans="9:9">
      <c r="I738" s="58" t="str">
        <f t="shared" si="9"/>
        <v/>
      </c>
    </row>
    <row r="739" spans="9:9">
      <c r="I739" s="58" t="str">
        <f t="shared" si="9"/>
        <v/>
      </c>
    </row>
    <row r="740" spans="9:9">
      <c r="I740" s="58" t="str">
        <f t="shared" si="9"/>
        <v/>
      </c>
    </row>
    <row r="741" spans="9:9">
      <c r="I741" s="58" t="str">
        <f t="shared" si="9"/>
        <v/>
      </c>
    </row>
    <row r="742" spans="9:9">
      <c r="I742" s="58" t="str">
        <f t="shared" si="9"/>
        <v/>
      </c>
    </row>
    <row r="743" spans="9:9">
      <c r="I743" s="58" t="str">
        <f t="shared" si="9"/>
        <v/>
      </c>
    </row>
    <row r="744" spans="9:9">
      <c r="I744" s="58" t="str">
        <f t="shared" si="9"/>
        <v/>
      </c>
    </row>
    <row r="745" spans="9:9">
      <c r="I745" s="58" t="str">
        <f t="shared" si="9"/>
        <v/>
      </c>
    </row>
    <row r="746" spans="9:9">
      <c r="I746" s="58" t="str">
        <f t="shared" si="9"/>
        <v/>
      </c>
    </row>
    <row r="747" spans="9:9">
      <c r="I747" s="58" t="str">
        <f t="shared" si="9"/>
        <v/>
      </c>
    </row>
    <row r="748" spans="9:9">
      <c r="I748" s="58" t="str">
        <f t="shared" si="9"/>
        <v/>
      </c>
    </row>
    <row r="749" spans="9:9">
      <c r="I749" s="58" t="str">
        <f t="shared" si="9"/>
        <v/>
      </c>
    </row>
    <row r="750" spans="9:9">
      <c r="I750" s="58" t="str">
        <f t="shared" si="9"/>
        <v/>
      </c>
    </row>
    <row r="751" spans="9:9">
      <c r="I751" s="58" t="str">
        <f t="shared" si="9"/>
        <v/>
      </c>
    </row>
    <row r="752" spans="9:9">
      <c r="I752" s="58" t="str">
        <f t="shared" si="9"/>
        <v/>
      </c>
    </row>
    <row r="753" spans="9:9">
      <c r="I753" s="58" t="str">
        <f t="shared" si="9"/>
        <v/>
      </c>
    </row>
    <row r="754" spans="9:9">
      <c r="I754" s="58" t="str">
        <f t="shared" si="9"/>
        <v/>
      </c>
    </row>
    <row r="755" spans="9:9">
      <c r="I755" s="58" t="str">
        <f t="shared" si="9"/>
        <v/>
      </c>
    </row>
    <row r="756" spans="9:9">
      <c r="I756" s="58" t="str">
        <f t="shared" si="9"/>
        <v/>
      </c>
    </row>
    <row r="757" spans="9:9">
      <c r="I757" s="58" t="str">
        <f t="shared" si="9"/>
        <v/>
      </c>
    </row>
    <row r="758" spans="9:9">
      <c r="I758" s="58" t="str">
        <f t="shared" si="9"/>
        <v/>
      </c>
    </row>
    <row r="759" spans="9:9">
      <c r="I759" s="58" t="str">
        <f t="shared" si="9"/>
        <v/>
      </c>
    </row>
    <row r="760" spans="9:9">
      <c r="I760" s="58" t="str">
        <f t="shared" si="9"/>
        <v/>
      </c>
    </row>
    <row r="761" spans="9:9">
      <c r="I761" s="58" t="str">
        <f t="shared" si="9"/>
        <v/>
      </c>
    </row>
    <row r="762" spans="9:9">
      <c r="I762" s="58" t="str">
        <f t="shared" si="9"/>
        <v/>
      </c>
    </row>
    <row r="763" spans="9:9">
      <c r="I763" s="58" t="str">
        <f t="shared" si="9"/>
        <v/>
      </c>
    </row>
    <row r="764" spans="9:9">
      <c r="I764" s="58" t="str">
        <f t="shared" si="9"/>
        <v/>
      </c>
    </row>
    <row r="765" spans="9:9">
      <c r="I765" s="58" t="str">
        <f t="shared" si="9"/>
        <v/>
      </c>
    </row>
    <row r="766" spans="9:9">
      <c r="I766" s="58" t="str">
        <f t="shared" si="9"/>
        <v/>
      </c>
    </row>
    <row r="767" spans="9:9">
      <c r="I767" s="58" t="str">
        <f t="shared" si="9"/>
        <v/>
      </c>
    </row>
    <row r="768" spans="9:9">
      <c r="I768" s="58" t="str">
        <f t="shared" si="9"/>
        <v/>
      </c>
    </row>
    <row r="769" spans="9:9">
      <c r="I769" s="58" t="str">
        <f t="shared" si="9"/>
        <v/>
      </c>
    </row>
    <row r="770" spans="9:9">
      <c r="I770" s="58" t="str">
        <f t="shared" si="9"/>
        <v/>
      </c>
    </row>
    <row r="771" spans="9:9">
      <c r="I771" s="58" t="str">
        <f t="shared" si="9"/>
        <v/>
      </c>
    </row>
    <row r="772" spans="9:9">
      <c r="I772" s="58" t="str">
        <f t="shared" si="9"/>
        <v/>
      </c>
    </row>
    <row r="773" spans="9:9">
      <c r="I773" s="58" t="str">
        <f t="shared" si="9"/>
        <v/>
      </c>
    </row>
    <row r="774" spans="9:9">
      <c r="I774" s="58" t="str">
        <f t="shared" si="9"/>
        <v/>
      </c>
    </row>
    <row r="775" spans="9:9">
      <c r="I775" s="58" t="str">
        <f t="shared" si="9"/>
        <v/>
      </c>
    </row>
    <row r="776" spans="9:9">
      <c r="I776" s="58" t="str">
        <f t="shared" si="9"/>
        <v/>
      </c>
    </row>
    <row r="777" spans="9:9">
      <c r="I777" s="58" t="str">
        <f t="shared" si="9"/>
        <v/>
      </c>
    </row>
    <row r="778" spans="9:9">
      <c r="I778" s="58" t="str">
        <f t="shared" si="9"/>
        <v/>
      </c>
    </row>
    <row r="779" spans="9:9">
      <c r="I779" s="58" t="str">
        <f t="shared" si="9"/>
        <v/>
      </c>
    </row>
    <row r="780" spans="9:9">
      <c r="I780" s="58" t="str">
        <f t="shared" si="9"/>
        <v/>
      </c>
    </row>
    <row r="781" spans="9:9">
      <c r="I781" s="58" t="str">
        <f t="shared" si="9"/>
        <v/>
      </c>
    </row>
    <row r="782" spans="9:9">
      <c r="I782" s="58" t="str">
        <f t="shared" si="9"/>
        <v/>
      </c>
    </row>
    <row r="783" spans="9:9">
      <c r="I783" s="58" t="str">
        <f t="shared" si="9"/>
        <v/>
      </c>
    </row>
    <row r="784" spans="9:9">
      <c r="I784" s="58" t="str">
        <f t="shared" si="9"/>
        <v/>
      </c>
    </row>
    <row r="785" spans="9:9">
      <c r="I785" s="58" t="str">
        <f t="shared" si="9"/>
        <v/>
      </c>
    </row>
    <row r="786" spans="9:9">
      <c r="I786" s="58" t="str">
        <f t="shared" si="9"/>
        <v/>
      </c>
    </row>
    <row r="787" spans="9:9">
      <c r="I787" s="58" t="str">
        <f t="shared" si="9"/>
        <v/>
      </c>
    </row>
    <row r="788" spans="9:9">
      <c r="I788" s="58" t="str">
        <f t="shared" si="9"/>
        <v/>
      </c>
    </row>
    <row r="789" spans="9:9">
      <c r="I789" s="58" t="str">
        <f t="shared" si="9"/>
        <v/>
      </c>
    </row>
    <row r="790" spans="9:9">
      <c r="I790" s="58" t="str">
        <f t="shared" si="9"/>
        <v/>
      </c>
    </row>
    <row r="791" spans="9:9">
      <c r="I791" s="58" t="str">
        <f t="shared" si="9"/>
        <v/>
      </c>
    </row>
    <row r="792" spans="9:9">
      <c r="I792" s="58" t="str">
        <f t="shared" si="9"/>
        <v/>
      </c>
    </row>
    <row r="793" spans="9:9">
      <c r="I793" s="58" t="str">
        <f t="shared" si="9"/>
        <v/>
      </c>
    </row>
    <row r="794" spans="9:9">
      <c r="I794" s="58" t="str">
        <f t="shared" si="9"/>
        <v/>
      </c>
    </row>
    <row r="795" spans="9:9">
      <c r="I795" s="58" t="str">
        <f t="shared" ref="I795:I858" si="10">+IF(H795="","",F795/G795)</f>
        <v/>
      </c>
    </row>
    <row r="796" spans="9:9">
      <c r="I796" s="58" t="str">
        <f t="shared" si="10"/>
        <v/>
      </c>
    </row>
    <row r="797" spans="9:9">
      <c r="I797" s="58" t="str">
        <f t="shared" si="10"/>
        <v/>
      </c>
    </row>
    <row r="798" spans="9:9">
      <c r="I798" s="58" t="str">
        <f t="shared" si="10"/>
        <v/>
      </c>
    </row>
    <row r="799" spans="9:9">
      <c r="I799" s="58" t="str">
        <f t="shared" si="10"/>
        <v/>
      </c>
    </row>
    <row r="800" spans="9:9">
      <c r="I800" s="58" t="str">
        <f t="shared" si="10"/>
        <v/>
      </c>
    </row>
    <row r="801" spans="9:9">
      <c r="I801" s="58" t="str">
        <f t="shared" si="10"/>
        <v/>
      </c>
    </row>
    <row r="802" spans="9:9">
      <c r="I802" s="58" t="str">
        <f t="shared" si="10"/>
        <v/>
      </c>
    </row>
    <row r="803" spans="9:9">
      <c r="I803" s="58" t="str">
        <f t="shared" si="10"/>
        <v/>
      </c>
    </row>
    <row r="804" spans="9:9">
      <c r="I804" s="58" t="str">
        <f t="shared" si="10"/>
        <v/>
      </c>
    </row>
    <row r="805" spans="9:9">
      <c r="I805" s="58" t="str">
        <f t="shared" si="10"/>
        <v/>
      </c>
    </row>
    <row r="806" spans="9:9">
      <c r="I806" s="58" t="str">
        <f t="shared" si="10"/>
        <v/>
      </c>
    </row>
    <row r="807" spans="9:9">
      <c r="I807" s="58" t="str">
        <f t="shared" si="10"/>
        <v/>
      </c>
    </row>
    <row r="808" spans="9:9">
      <c r="I808" s="58" t="str">
        <f t="shared" si="10"/>
        <v/>
      </c>
    </row>
    <row r="809" spans="9:9">
      <c r="I809" s="58" t="str">
        <f t="shared" si="10"/>
        <v/>
      </c>
    </row>
    <row r="810" spans="9:9">
      <c r="I810" s="58" t="str">
        <f t="shared" si="10"/>
        <v/>
      </c>
    </row>
    <row r="811" spans="9:9">
      <c r="I811" s="58" t="str">
        <f t="shared" si="10"/>
        <v/>
      </c>
    </row>
    <row r="812" spans="9:9">
      <c r="I812" s="58" t="str">
        <f t="shared" si="10"/>
        <v/>
      </c>
    </row>
    <row r="813" spans="9:9">
      <c r="I813" s="58" t="str">
        <f t="shared" si="10"/>
        <v/>
      </c>
    </row>
    <row r="814" spans="9:9">
      <c r="I814" s="58" t="str">
        <f t="shared" si="10"/>
        <v/>
      </c>
    </row>
    <row r="815" spans="9:9">
      <c r="I815" s="58" t="str">
        <f t="shared" si="10"/>
        <v/>
      </c>
    </row>
    <row r="816" spans="9:9">
      <c r="I816" s="58" t="str">
        <f t="shared" si="10"/>
        <v/>
      </c>
    </row>
    <row r="817" spans="9:9">
      <c r="I817" s="58" t="str">
        <f t="shared" si="10"/>
        <v/>
      </c>
    </row>
    <row r="818" spans="9:9">
      <c r="I818" s="58" t="str">
        <f t="shared" si="10"/>
        <v/>
      </c>
    </row>
    <row r="819" spans="9:9">
      <c r="I819" s="58" t="str">
        <f t="shared" si="10"/>
        <v/>
      </c>
    </row>
    <row r="820" spans="9:9">
      <c r="I820" s="58" t="str">
        <f t="shared" si="10"/>
        <v/>
      </c>
    </row>
    <row r="821" spans="9:9">
      <c r="I821" s="58" t="str">
        <f t="shared" si="10"/>
        <v/>
      </c>
    </row>
    <row r="822" spans="9:9">
      <c r="I822" s="58" t="str">
        <f t="shared" si="10"/>
        <v/>
      </c>
    </row>
    <row r="823" spans="9:9">
      <c r="I823" s="58" t="str">
        <f t="shared" si="10"/>
        <v/>
      </c>
    </row>
    <row r="824" spans="9:9">
      <c r="I824" s="58" t="str">
        <f t="shared" si="10"/>
        <v/>
      </c>
    </row>
    <row r="825" spans="9:9">
      <c r="I825" s="58" t="str">
        <f t="shared" si="10"/>
        <v/>
      </c>
    </row>
    <row r="826" spans="9:9">
      <c r="I826" s="58" t="str">
        <f t="shared" si="10"/>
        <v/>
      </c>
    </row>
    <row r="827" spans="9:9">
      <c r="I827" s="58" t="str">
        <f t="shared" si="10"/>
        <v/>
      </c>
    </row>
    <row r="828" spans="9:9">
      <c r="I828" s="58" t="str">
        <f t="shared" si="10"/>
        <v/>
      </c>
    </row>
    <row r="829" spans="9:9">
      <c r="I829" s="58" t="str">
        <f t="shared" si="10"/>
        <v/>
      </c>
    </row>
    <row r="830" spans="9:9">
      <c r="I830" s="58" t="str">
        <f t="shared" si="10"/>
        <v/>
      </c>
    </row>
    <row r="831" spans="9:9">
      <c r="I831" s="58" t="str">
        <f t="shared" si="10"/>
        <v/>
      </c>
    </row>
    <row r="832" spans="9:9">
      <c r="I832" s="58" t="str">
        <f t="shared" si="10"/>
        <v/>
      </c>
    </row>
    <row r="833" spans="9:9">
      <c r="I833" s="58" t="str">
        <f t="shared" si="10"/>
        <v/>
      </c>
    </row>
    <row r="834" spans="9:9">
      <c r="I834" s="58" t="str">
        <f t="shared" si="10"/>
        <v/>
      </c>
    </row>
    <row r="835" spans="9:9">
      <c r="I835" s="58" t="str">
        <f t="shared" si="10"/>
        <v/>
      </c>
    </row>
    <row r="836" spans="9:9">
      <c r="I836" s="58" t="str">
        <f t="shared" si="10"/>
        <v/>
      </c>
    </row>
    <row r="837" spans="9:9">
      <c r="I837" s="58" t="str">
        <f t="shared" si="10"/>
        <v/>
      </c>
    </row>
    <row r="838" spans="9:9">
      <c r="I838" s="58" t="str">
        <f t="shared" si="10"/>
        <v/>
      </c>
    </row>
    <row r="839" spans="9:9">
      <c r="I839" s="58" t="str">
        <f t="shared" si="10"/>
        <v/>
      </c>
    </row>
    <row r="840" spans="9:9">
      <c r="I840" s="58" t="str">
        <f t="shared" si="10"/>
        <v/>
      </c>
    </row>
    <row r="841" spans="9:9">
      <c r="I841" s="58" t="str">
        <f t="shared" si="10"/>
        <v/>
      </c>
    </row>
    <row r="842" spans="9:9">
      <c r="I842" s="58" t="str">
        <f t="shared" si="10"/>
        <v/>
      </c>
    </row>
    <row r="843" spans="9:9">
      <c r="I843" s="58" t="str">
        <f t="shared" si="10"/>
        <v/>
      </c>
    </row>
    <row r="844" spans="9:9">
      <c r="I844" s="58" t="str">
        <f t="shared" si="10"/>
        <v/>
      </c>
    </row>
    <row r="845" spans="9:9">
      <c r="I845" s="58" t="str">
        <f t="shared" si="10"/>
        <v/>
      </c>
    </row>
    <row r="846" spans="9:9">
      <c r="I846" s="58" t="str">
        <f t="shared" si="10"/>
        <v/>
      </c>
    </row>
    <row r="847" spans="9:9">
      <c r="I847" s="58" t="str">
        <f t="shared" si="10"/>
        <v/>
      </c>
    </row>
    <row r="848" spans="9:9">
      <c r="I848" s="58" t="str">
        <f t="shared" si="10"/>
        <v/>
      </c>
    </row>
    <row r="849" spans="9:9">
      <c r="I849" s="58" t="str">
        <f t="shared" si="10"/>
        <v/>
      </c>
    </row>
    <row r="850" spans="9:9">
      <c r="I850" s="58" t="str">
        <f t="shared" si="10"/>
        <v/>
      </c>
    </row>
    <row r="851" spans="9:9">
      <c r="I851" s="58" t="str">
        <f t="shared" si="10"/>
        <v/>
      </c>
    </row>
    <row r="852" spans="9:9">
      <c r="I852" s="58" t="str">
        <f t="shared" si="10"/>
        <v/>
      </c>
    </row>
    <row r="853" spans="9:9">
      <c r="I853" s="58" t="str">
        <f t="shared" si="10"/>
        <v/>
      </c>
    </row>
    <row r="854" spans="9:9">
      <c r="I854" s="58" t="str">
        <f t="shared" si="10"/>
        <v/>
      </c>
    </row>
    <row r="855" spans="9:9">
      <c r="I855" s="58" t="str">
        <f t="shared" si="10"/>
        <v/>
      </c>
    </row>
    <row r="856" spans="9:9">
      <c r="I856" s="58" t="str">
        <f t="shared" si="10"/>
        <v/>
      </c>
    </row>
    <row r="857" spans="9:9">
      <c r="I857" s="58" t="str">
        <f t="shared" si="10"/>
        <v/>
      </c>
    </row>
    <row r="858" spans="9:9">
      <c r="I858" s="58" t="str">
        <f t="shared" si="10"/>
        <v/>
      </c>
    </row>
    <row r="859" spans="9:9">
      <c r="I859" s="58" t="str">
        <f t="shared" ref="I859:I922" si="11">+IF(H859="","",F859/G859)</f>
        <v/>
      </c>
    </row>
    <row r="860" spans="9:9">
      <c r="I860" s="58" t="str">
        <f t="shared" si="11"/>
        <v/>
      </c>
    </row>
    <row r="861" spans="9:9">
      <c r="I861" s="58" t="str">
        <f t="shared" si="11"/>
        <v/>
      </c>
    </row>
    <row r="862" spans="9:9">
      <c r="I862" s="58" t="str">
        <f t="shared" si="11"/>
        <v/>
      </c>
    </row>
    <row r="863" spans="9:9">
      <c r="I863" s="58" t="str">
        <f t="shared" si="11"/>
        <v/>
      </c>
    </row>
    <row r="864" spans="9:9">
      <c r="I864" s="58" t="str">
        <f t="shared" si="11"/>
        <v/>
      </c>
    </row>
    <row r="865" spans="9:9">
      <c r="I865" s="58" t="str">
        <f t="shared" si="11"/>
        <v/>
      </c>
    </row>
    <row r="866" spans="9:9">
      <c r="I866" s="58" t="str">
        <f t="shared" si="11"/>
        <v/>
      </c>
    </row>
    <row r="867" spans="9:9">
      <c r="I867" s="58" t="str">
        <f t="shared" si="11"/>
        <v/>
      </c>
    </row>
    <row r="868" spans="9:9">
      <c r="I868" s="58" t="str">
        <f t="shared" si="11"/>
        <v/>
      </c>
    </row>
    <row r="869" spans="9:9">
      <c r="I869" s="58" t="str">
        <f t="shared" si="11"/>
        <v/>
      </c>
    </row>
    <row r="870" spans="9:9">
      <c r="I870" s="58" t="str">
        <f t="shared" si="11"/>
        <v/>
      </c>
    </row>
    <row r="871" spans="9:9">
      <c r="I871" s="58" t="str">
        <f t="shared" si="11"/>
        <v/>
      </c>
    </row>
    <row r="872" spans="9:9">
      <c r="I872" s="58" t="str">
        <f t="shared" si="11"/>
        <v/>
      </c>
    </row>
    <row r="873" spans="9:9">
      <c r="I873" s="58" t="str">
        <f t="shared" si="11"/>
        <v/>
      </c>
    </row>
    <row r="874" spans="9:9">
      <c r="I874" s="58" t="str">
        <f t="shared" si="11"/>
        <v/>
      </c>
    </row>
    <row r="875" spans="9:9">
      <c r="I875" s="58" t="str">
        <f t="shared" si="11"/>
        <v/>
      </c>
    </row>
    <row r="876" spans="9:9">
      <c r="I876" s="58" t="str">
        <f t="shared" si="11"/>
        <v/>
      </c>
    </row>
    <row r="877" spans="9:9">
      <c r="I877" s="58" t="str">
        <f t="shared" si="11"/>
        <v/>
      </c>
    </row>
    <row r="878" spans="9:9">
      <c r="I878" s="58" t="str">
        <f t="shared" si="11"/>
        <v/>
      </c>
    </row>
    <row r="879" spans="9:9">
      <c r="I879" s="58" t="str">
        <f t="shared" si="11"/>
        <v/>
      </c>
    </row>
    <row r="880" spans="9:9">
      <c r="I880" s="58" t="str">
        <f t="shared" si="11"/>
        <v/>
      </c>
    </row>
    <row r="881" spans="9:9">
      <c r="I881" s="58" t="str">
        <f t="shared" si="11"/>
        <v/>
      </c>
    </row>
    <row r="882" spans="9:9">
      <c r="I882" s="58" t="str">
        <f t="shared" si="11"/>
        <v/>
      </c>
    </row>
    <row r="883" spans="9:9">
      <c r="I883" s="58" t="str">
        <f t="shared" si="11"/>
        <v/>
      </c>
    </row>
    <row r="884" spans="9:9">
      <c r="I884" s="58" t="str">
        <f t="shared" si="11"/>
        <v/>
      </c>
    </row>
    <row r="885" spans="9:9">
      <c r="I885" s="58" t="str">
        <f t="shared" si="11"/>
        <v/>
      </c>
    </row>
    <row r="886" spans="9:9">
      <c r="I886" s="58" t="str">
        <f t="shared" si="11"/>
        <v/>
      </c>
    </row>
    <row r="887" spans="9:9">
      <c r="I887" s="58" t="str">
        <f t="shared" si="11"/>
        <v/>
      </c>
    </row>
    <row r="888" spans="9:9">
      <c r="I888" s="58" t="str">
        <f t="shared" si="11"/>
        <v/>
      </c>
    </row>
    <row r="889" spans="9:9">
      <c r="I889" s="58" t="str">
        <f t="shared" si="11"/>
        <v/>
      </c>
    </row>
    <row r="890" spans="9:9">
      <c r="I890" s="58" t="str">
        <f t="shared" si="11"/>
        <v/>
      </c>
    </row>
    <row r="891" spans="9:9">
      <c r="I891" s="58" t="str">
        <f t="shared" si="11"/>
        <v/>
      </c>
    </row>
    <row r="892" spans="9:9">
      <c r="I892" s="58" t="str">
        <f t="shared" si="11"/>
        <v/>
      </c>
    </row>
    <row r="893" spans="9:9">
      <c r="I893" s="58" t="str">
        <f t="shared" si="11"/>
        <v/>
      </c>
    </row>
    <row r="894" spans="9:9">
      <c r="I894" s="58" t="str">
        <f t="shared" si="11"/>
        <v/>
      </c>
    </row>
    <row r="895" spans="9:9">
      <c r="I895" s="58" t="str">
        <f t="shared" si="11"/>
        <v/>
      </c>
    </row>
    <row r="896" spans="9:9">
      <c r="I896" s="58" t="str">
        <f t="shared" si="11"/>
        <v/>
      </c>
    </row>
    <row r="897" spans="9:9">
      <c r="I897" s="58" t="str">
        <f t="shared" si="11"/>
        <v/>
      </c>
    </row>
    <row r="898" spans="9:9">
      <c r="I898" s="58" t="str">
        <f t="shared" si="11"/>
        <v/>
      </c>
    </row>
    <row r="899" spans="9:9">
      <c r="I899" s="58" t="str">
        <f t="shared" si="11"/>
        <v/>
      </c>
    </row>
    <row r="900" spans="9:9">
      <c r="I900" s="58" t="str">
        <f t="shared" si="11"/>
        <v/>
      </c>
    </row>
    <row r="901" spans="9:9">
      <c r="I901" s="58" t="str">
        <f t="shared" si="11"/>
        <v/>
      </c>
    </row>
    <row r="902" spans="9:9">
      <c r="I902" s="58" t="str">
        <f t="shared" si="11"/>
        <v/>
      </c>
    </row>
    <row r="903" spans="9:9">
      <c r="I903" s="58" t="str">
        <f t="shared" si="11"/>
        <v/>
      </c>
    </row>
    <row r="904" spans="9:9">
      <c r="I904" s="58" t="str">
        <f t="shared" si="11"/>
        <v/>
      </c>
    </row>
    <row r="905" spans="9:9">
      <c r="I905" s="58" t="str">
        <f t="shared" si="11"/>
        <v/>
      </c>
    </row>
    <row r="906" spans="9:9">
      <c r="I906" s="58" t="str">
        <f t="shared" si="11"/>
        <v/>
      </c>
    </row>
    <row r="907" spans="9:9">
      <c r="I907" s="58" t="str">
        <f t="shared" si="11"/>
        <v/>
      </c>
    </row>
    <row r="908" spans="9:9">
      <c r="I908" s="58" t="str">
        <f t="shared" si="11"/>
        <v/>
      </c>
    </row>
    <row r="909" spans="9:9">
      <c r="I909" s="58" t="str">
        <f t="shared" si="11"/>
        <v/>
      </c>
    </row>
    <row r="910" spans="9:9">
      <c r="I910" s="58" t="str">
        <f t="shared" si="11"/>
        <v/>
      </c>
    </row>
    <row r="911" spans="9:9">
      <c r="I911" s="58" t="str">
        <f t="shared" si="11"/>
        <v/>
      </c>
    </row>
    <row r="912" spans="9:9">
      <c r="I912" s="58" t="str">
        <f t="shared" si="11"/>
        <v/>
      </c>
    </row>
    <row r="913" spans="9:9">
      <c r="I913" s="58" t="str">
        <f t="shared" si="11"/>
        <v/>
      </c>
    </row>
    <row r="914" spans="9:9">
      <c r="I914" s="58" t="str">
        <f t="shared" si="11"/>
        <v/>
      </c>
    </row>
    <row r="915" spans="9:9">
      <c r="I915" s="58" t="str">
        <f t="shared" si="11"/>
        <v/>
      </c>
    </row>
    <row r="916" spans="9:9">
      <c r="I916" s="58" t="str">
        <f t="shared" si="11"/>
        <v/>
      </c>
    </row>
    <row r="917" spans="9:9">
      <c r="I917" s="58" t="str">
        <f t="shared" si="11"/>
        <v/>
      </c>
    </row>
    <row r="918" spans="9:9">
      <c r="I918" s="58" t="str">
        <f t="shared" si="11"/>
        <v/>
      </c>
    </row>
    <row r="919" spans="9:9">
      <c r="I919" s="58" t="str">
        <f t="shared" si="11"/>
        <v/>
      </c>
    </row>
    <row r="920" spans="9:9">
      <c r="I920" s="58" t="str">
        <f t="shared" si="11"/>
        <v/>
      </c>
    </row>
    <row r="921" spans="9:9">
      <c r="I921" s="58" t="str">
        <f t="shared" si="11"/>
        <v/>
      </c>
    </row>
    <row r="922" spans="9:9">
      <c r="I922" s="58" t="str">
        <f t="shared" si="11"/>
        <v/>
      </c>
    </row>
    <row r="923" spans="9:9">
      <c r="I923" s="58" t="str">
        <f t="shared" ref="I923:I986" si="12">+IF(H923="","",F923/G923)</f>
        <v/>
      </c>
    </row>
    <row r="924" spans="9:9">
      <c r="I924" s="58" t="str">
        <f t="shared" si="12"/>
        <v/>
      </c>
    </row>
    <row r="925" spans="9:9">
      <c r="I925" s="58" t="str">
        <f t="shared" si="12"/>
        <v/>
      </c>
    </row>
    <row r="926" spans="9:9">
      <c r="I926" s="58" t="str">
        <f t="shared" si="12"/>
        <v/>
      </c>
    </row>
    <row r="927" spans="9:9">
      <c r="I927" s="58" t="str">
        <f t="shared" si="12"/>
        <v/>
      </c>
    </row>
    <row r="928" spans="9:9">
      <c r="I928" s="58" t="str">
        <f t="shared" si="12"/>
        <v/>
      </c>
    </row>
    <row r="929" spans="9:9">
      <c r="I929" s="58" t="str">
        <f t="shared" si="12"/>
        <v/>
      </c>
    </row>
    <row r="930" spans="9:9">
      <c r="I930" s="58" t="str">
        <f t="shared" si="12"/>
        <v/>
      </c>
    </row>
    <row r="931" spans="9:9">
      <c r="I931" s="58" t="str">
        <f t="shared" si="12"/>
        <v/>
      </c>
    </row>
    <row r="932" spans="9:9">
      <c r="I932" s="58" t="str">
        <f t="shared" si="12"/>
        <v/>
      </c>
    </row>
    <row r="933" spans="9:9">
      <c r="I933" s="58" t="str">
        <f t="shared" si="12"/>
        <v/>
      </c>
    </row>
    <row r="934" spans="9:9">
      <c r="I934" s="58" t="str">
        <f t="shared" si="12"/>
        <v/>
      </c>
    </row>
    <row r="935" spans="9:9">
      <c r="I935" s="58" t="str">
        <f t="shared" si="12"/>
        <v/>
      </c>
    </row>
    <row r="936" spans="9:9">
      <c r="I936" s="58" t="str">
        <f t="shared" si="12"/>
        <v/>
      </c>
    </row>
    <row r="937" spans="9:9">
      <c r="I937" s="58" t="str">
        <f t="shared" si="12"/>
        <v/>
      </c>
    </row>
    <row r="938" spans="9:9">
      <c r="I938" s="58" t="str">
        <f t="shared" si="12"/>
        <v/>
      </c>
    </row>
    <row r="939" spans="9:9">
      <c r="I939" s="58" t="str">
        <f t="shared" si="12"/>
        <v/>
      </c>
    </row>
    <row r="940" spans="9:9">
      <c r="I940" s="58" t="str">
        <f t="shared" si="12"/>
        <v/>
      </c>
    </row>
    <row r="941" spans="9:9">
      <c r="I941" s="58" t="str">
        <f t="shared" si="12"/>
        <v/>
      </c>
    </row>
    <row r="942" spans="9:9">
      <c r="I942" s="58" t="str">
        <f t="shared" si="12"/>
        <v/>
      </c>
    </row>
    <row r="943" spans="9:9">
      <c r="I943" s="58" t="str">
        <f t="shared" si="12"/>
        <v/>
      </c>
    </row>
    <row r="944" spans="9:9">
      <c r="I944" s="58" t="str">
        <f t="shared" si="12"/>
        <v/>
      </c>
    </row>
    <row r="945" spans="9:9">
      <c r="I945" s="58" t="str">
        <f t="shared" si="12"/>
        <v/>
      </c>
    </row>
    <row r="946" spans="9:9">
      <c r="I946" s="58" t="str">
        <f t="shared" si="12"/>
        <v/>
      </c>
    </row>
    <row r="947" spans="9:9">
      <c r="I947" s="58" t="str">
        <f t="shared" si="12"/>
        <v/>
      </c>
    </row>
    <row r="948" spans="9:9">
      <c r="I948" s="58" t="str">
        <f t="shared" si="12"/>
        <v/>
      </c>
    </row>
    <row r="949" spans="9:9">
      <c r="I949" s="58" t="str">
        <f t="shared" si="12"/>
        <v/>
      </c>
    </row>
    <row r="950" spans="9:9">
      <c r="I950" s="58" t="str">
        <f t="shared" si="12"/>
        <v/>
      </c>
    </row>
    <row r="951" spans="9:9">
      <c r="I951" s="58" t="str">
        <f t="shared" si="12"/>
        <v/>
      </c>
    </row>
    <row r="952" spans="9:9">
      <c r="I952" s="58" t="str">
        <f t="shared" si="12"/>
        <v/>
      </c>
    </row>
    <row r="953" spans="9:9">
      <c r="I953" s="58" t="str">
        <f t="shared" si="12"/>
        <v/>
      </c>
    </row>
    <row r="954" spans="9:9">
      <c r="I954" s="58" t="str">
        <f t="shared" si="12"/>
        <v/>
      </c>
    </row>
    <row r="955" spans="9:9">
      <c r="I955" s="58" t="str">
        <f t="shared" si="12"/>
        <v/>
      </c>
    </row>
    <row r="956" spans="9:9">
      <c r="I956" s="58" t="str">
        <f t="shared" si="12"/>
        <v/>
      </c>
    </row>
    <row r="957" spans="9:9">
      <c r="I957" s="58" t="str">
        <f t="shared" si="12"/>
        <v/>
      </c>
    </row>
    <row r="958" spans="9:9">
      <c r="I958" s="58" t="str">
        <f t="shared" si="12"/>
        <v/>
      </c>
    </row>
    <row r="959" spans="9:9">
      <c r="I959" s="58" t="str">
        <f t="shared" si="12"/>
        <v/>
      </c>
    </row>
    <row r="960" spans="9:9">
      <c r="I960" s="58" t="str">
        <f t="shared" si="12"/>
        <v/>
      </c>
    </row>
    <row r="961" spans="9:9">
      <c r="I961" s="58" t="str">
        <f t="shared" si="12"/>
        <v/>
      </c>
    </row>
    <row r="962" spans="9:9">
      <c r="I962" s="58" t="str">
        <f t="shared" si="12"/>
        <v/>
      </c>
    </row>
    <row r="963" spans="9:9">
      <c r="I963" s="58" t="str">
        <f t="shared" si="12"/>
        <v/>
      </c>
    </row>
    <row r="964" spans="9:9">
      <c r="I964" s="58" t="str">
        <f t="shared" si="12"/>
        <v/>
      </c>
    </row>
    <row r="965" spans="9:9">
      <c r="I965" s="58" t="str">
        <f t="shared" si="12"/>
        <v/>
      </c>
    </row>
    <row r="966" spans="9:9">
      <c r="I966" s="58" t="str">
        <f t="shared" si="12"/>
        <v/>
      </c>
    </row>
    <row r="967" spans="9:9">
      <c r="I967" s="58" t="str">
        <f t="shared" si="12"/>
        <v/>
      </c>
    </row>
    <row r="968" spans="9:9">
      <c r="I968" s="58" t="str">
        <f t="shared" si="12"/>
        <v/>
      </c>
    </row>
    <row r="969" spans="9:9">
      <c r="I969" s="58" t="str">
        <f t="shared" si="12"/>
        <v/>
      </c>
    </row>
    <row r="970" spans="9:9">
      <c r="I970" s="58" t="str">
        <f t="shared" si="12"/>
        <v/>
      </c>
    </row>
    <row r="971" spans="9:9">
      <c r="I971" s="58" t="str">
        <f t="shared" si="12"/>
        <v/>
      </c>
    </row>
    <row r="972" spans="9:9">
      <c r="I972" s="58" t="str">
        <f t="shared" si="12"/>
        <v/>
      </c>
    </row>
    <row r="973" spans="9:9">
      <c r="I973" s="58" t="str">
        <f t="shared" si="12"/>
        <v/>
      </c>
    </row>
    <row r="974" spans="9:9">
      <c r="I974" s="58" t="str">
        <f t="shared" si="12"/>
        <v/>
      </c>
    </row>
    <row r="975" spans="9:9">
      <c r="I975" s="58" t="str">
        <f t="shared" si="12"/>
        <v/>
      </c>
    </row>
    <row r="976" spans="9:9">
      <c r="I976" s="58" t="str">
        <f t="shared" si="12"/>
        <v/>
      </c>
    </row>
    <row r="977" spans="9:9">
      <c r="I977" s="58" t="str">
        <f t="shared" si="12"/>
        <v/>
      </c>
    </row>
    <row r="978" spans="9:9">
      <c r="I978" s="58" t="str">
        <f t="shared" si="12"/>
        <v/>
      </c>
    </row>
    <row r="979" spans="9:9">
      <c r="I979" s="58" t="str">
        <f t="shared" si="12"/>
        <v/>
      </c>
    </row>
    <row r="980" spans="9:9">
      <c r="I980" s="58" t="str">
        <f t="shared" si="12"/>
        <v/>
      </c>
    </row>
    <row r="981" spans="9:9">
      <c r="I981" s="58" t="str">
        <f t="shared" si="12"/>
        <v/>
      </c>
    </row>
    <row r="982" spans="9:9">
      <c r="I982" s="58" t="str">
        <f t="shared" si="12"/>
        <v/>
      </c>
    </row>
    <row r="983" spans="9:9">
      <c r="I983" s="58" t="str">
        <f t="shared" si="12"/>
        <v/>
      </c>
    </row>
    <row r="984" spans="9:9">
      <c r="I984" s="58" t="str">
        <f t="shared" si="12"/>
        <v/>
      </c>
    </row>
    <row r="985" spans="9:9">
      <c r="I985" s="58" t="str">
        <f t="shared" si="12"/>
        <v/>
      </c>
    </row>
    <row r="986" spans="9:9">
      <c r="I986" s="58" t="str">
        <f t="shared" si="12"/>
        <v/>
      </c>
    </row>
    <row r="987" spans="9:9">
      <c r="I987" s="58" t="str">
        <f t="shared" ref="I987:I1000" si="13">+IF(H987="","",F987/G987)</f>
        <v/>
      </c>
    </row>
    <row r="988" spans="9:9">
      <c r="I988" s="58" t="str">
        <f t="shared" si="13"/>
        <v/>
      </c>
    </row>
    <row r="989" spans="9:9">
      <c r="I989" s="58" t="str">
        <f t="shared" si="13"/>
        <v/>
      </c>
    </row>
    <row r="990" spans="9:9">
      <c r="I990" s="58" t="str">
        <f t="shared" si="13"/>
        <v/>
      </c>
    </row>
    <row r="991" spans="9:9">
      <c r="I991" s="58" t="str">
        <f t="shared" si="13"/>
        <v/>
      </c>
    </row>
    <row r="992" spans="9:9">
      <c r="I992" s="58" t="str">
        <f t="shared" si="13"/>
        <v/>
      </c>
    </row>
    <row r="993" spans="9:9">
      <c r="I993" s="58" t="str">
        <f t="shared" si="13"/>
        <v/>
      </c>
    </row>
    <row r="994" spans="9:9">
      <c r="I994" s="58" t="str">
        <f t="shared" si="13"/>
        <v/>
      </c>
    </row>
    <row r="995" spans="9:9">
      <c r="I995" s="58" t="str">
        <f t="shared" si="13"/>
        <v/>
      </c>
    </row>
    <row r="996" spans="9:9">
      <c r="I996" s="58" t="str">
        <f t="shared" si="13"/>
        <v/>
      </c>
    </row>
    <row r="997" spans="9:9">
      <c r="I997" s="58" t="str">
        <f t="shared" si="13"/>
        <v/>
      </c>
    </row>
    <row r="998" spans="9:9">
      <c r="I998" s="58" t="str">
        <f t="shared" si="13"/>
        <v/>
      </c>
    </row>
    <row r="999" spans="9:9">
      <c r="I999" s="58" t="str">
        <f t="shared" si="13"/>
        <v/>
      </c>
    </row>
    <row r="1000" spans="9:9">
      <c r="I1000" s="58" t="str">
        <f t="shared" si="13"/>
        <v/>
      </c>
    </row>
    <row r="1001" spans="9:9">
      <c r="I1001" s="58" t="str">
        <f t="shared" ref="I1001:I1016" si="14">+IF(H1001="","",F1001/G1001)</f>
        <v/>
      </c>
    </row>
    <row r="1002" spans="9:9">
      <c r="I1002" s="58" t="str">
        <f t="shared" si="14"/>
        <v/>
      </c>
    </row>
    <row r="1003" spans="9:9">
      <c r="I1003" s="58" t="str">
        <f t="shared" si="14"/>
        <v/>
      </c>
    </row>
    <row r="1004" spans="9:9">
      <c r="I1004" s="58" t="str">
        <f t="shared" si="14"/>
        <v/>
      </c>
    </row>
    <row r="1005" spans="9:9">
      <c r="I1005" s="58" t="str">
        <f t="shared" si="14"/>
        <v/>
      </c>
    </row>
    <row r="1006" spans="9:9">
      <c r="I1006" s="58" t="str">
        <f t="shared" si="14"/>
        <v/>
      </c>
    </row>
    <row r="1007" spans="9:9">
      <c r="I1007" s="58" t="str">
        <f t="shared" si="14"/>
        <v/>
      </c>
    </row>
    <row r="1008" spans="9:9">
      <c r="I1008" s="58" t="str">
        <f t="shared" si="14"/>
        <v/>
      </c>
    </row>
    <row r="1009" spans="9:9">
      <c r="I1009" s="58" t="str">
        <f t="shared" si="14"/>
        <v/>
      </c>
    </row>
    <row r="1010" spans="9:9">
      <c r="I1010" s="58" t="str">
        <f t="shared" si="14"/>
        <v/>
      </c>
    </row>
    <row r="1011" spans="9:9">
      <c r="I1011" s="58" t="str">
        <f t="shared" si="14"/>
        <v/>
      </c>
    </row>
    <row r="1012" spans="9:9">
      <c r="I1012" s="58" t="str">
        <f t="shared" si="14"/>
        <v/>
      </c>
    </row>
    <row r="1013" spans="9:9">
      <c r="I1013" s="58" t="str">
        <f t="shared" si="14"/>
        <v/>
      </c>
    </row>
    <row r="1014" spans="9:9">
      <c r="I1014" s="58" t="str">
        <f t="shared" si="14"/>
        <v/>
      </c>
    </row>
    <row r="1015" spans="9:9">
      <c r="I1015" s="58" t="str">
        <f t="shared" si="14"/>
        <v/>
      </c>
    </row>
    <row r="1016" spans="9:9">
      <c r="I1016" s="58" t="str">
        <f t="shared" si="14"/>
        <v/>
      </c>
    </row>
  </sheetData>
  <autoFilter ref="A1:I1000" xr:uid="{00000000-0009-0000-0000-000009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export_bonos">
                <anchor moveWithCells="1" sizeWithCells="1">
                  <from>
                    <xdr:col>9</xdr:col>
                    <xdr:colOff>103414</xdr:colOff>
                    <xdr:row>1</xdr:row>
                    <xdr:rowOff>38100</xdr:rowOff>
                  </from>
                  <to>
                    <xdr:col>10</xdr:col>
                    <xdr:colOff>674914</xdr:colOff>
                    <xdr:row>3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return_to_admin">
                <anchor moveWithCells="1" sizeWithCells="1">
                  <from>
                    <xdr:col>11</xdr:col>
                    <xdr:colOff>141514</xdr:colOff>
                    <xdr:row>1</xdr:row>
                    <xdr:rowOff>38100</xdr:rowOff>
                  </from>
                  <to>
                    <xdr:col>12</xdr:col>
                    <xdr:colOff>713014</xdr:colOff>
                    <xdr:row>3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5" name="Button 3">
              <controlPr defaultSize="0" print="0" autoFill="0" autoPict="0" macro="[0]!bonos_mantenimiento">
                <anchor moveWithCells="1" sizeWithCells="1">
                  <from>
                    <xdr:col>10</xdr:col>
                    <xdr:colOff>27214</xdr:colOff>
                    <xdr:row>3</xdr:row>
                    <xdr:rowOff>87086</xdr:rowOff>
                  </from>
                  <to>
                    <xdr:col>11</xdr:col>
                    <xdr:colOff>598714</xdr:colOff>
                    <xdr:row>5</xdr:row>
                    <xdr:rowOff>65314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8"/>
  <dimension ref="A1:E1058"/>
  <sheetViews>
    <sheetView zoomScaleNormal="100" workbookViewId="0">
      <selection activeCell="C1" sqref="C1"/>
    </sheetView>
  </sheetViews>
  <sheetFormatPr defaultColWidth="11.3828125" defaultRowHeight="14.6"/>
  <cols>
    <col min="1" max="1" width="28.15234375" style="25" bestFit="1" customWidth="1"/>
    <col min="2" max="2" width="36.3046875" style="25" bestFit="1" customWidth="1"/>
    <col min="3" max="3" width="39.15234375" style="25" bestFit="1" customWidth="1"/>
    <col min="4" max="4" width="8.15234375" style="29" bestFit="1" customWidth="1"/>
    <col min="5" max="5" width="14.69140625" style="29" bestFit="1" customWidth="1"/>
    <col min="6" max="6" width="10.3828125" style="25" bestFit="1" customWidth="1"/>
    <col min="7" max="16384" width="11.3828125" style="25"/>
  </cols>
  <sheetData>
    <row r="1" spans="1:5">
      <c r="A1" s="25" t="s">
        <v>2</v>
      </c>
      <c r="B1" s="25" t="s">
        <v>16</v>
      </c>
      <c r="C1" s="25" t="s">
        <v>180</v>
      </c>
      <c r="D1" s="29" t="s">
        <v>181</v>
      </c>
      <c r="E1" s="29" t="s">
        <v>185</v>
      </c>
    </row>
    <row r="2" spans="1:5">
      <c r="A2"/>
      <c r="B2"/>
      <c r="C2"/>
      <c r="D2"/>
      <c r="E2" s="7"/>
    </row>
    <row r="3" spans="1:5">
      <c r="A3"/>
      <c r="B3"/>
      <c r="C3"/>
      <c r="D3"/>
      <c r="E3" s="7"/>
    </row>
    <row r="4" spans="1:5">
      <c r="A4"/>
      <c r="B4"/>
      <c r="C4"/>
      <c r="D4"/>
      <c r="E4" s="7"/>
    </row>
    <row r="5" spans="1:5">
      <c r="A5"/>
      <c r="B5"/>
      <c r="C5"/>
      <c r="D5"/>
      <c r="E5" s="7"/>
    </row>
    <row r="6" spans="1:5">
      <c r="A6"/>
      <c r="B6"/>
      <c r="C6"/>
      <c r="D6"/>
      <c r="E6" s="7"/>
    </row>
    <row r="7" spans="1:5">
      <c r="A7"/>
      <c r="B7"/>
      <c r="C7"/>
      <c r="D7"/>
      <c r="E7" s="7"/>
    </row>
    <row r="8" spans="1:5">
      <c r="A8"/>
      <c r="B8"/>
      <c r="C8"/>
      <c r="D8"/>
      <c r="E8" s="7"/>
    </row>
    <row r="9" spans="1:5">
      <c r="A9"/>
      <c r="B9"/>
      <c r="C9"/>
      <c r="D9"/>
      <c r="E9" s="7"/>
    </row>
    <row r="10" spans="1:5">
      <c r="A10"/>
      <c r="B10"/>
      <c r="C10"/>
      <c r="D10"/>
      <c r="E10" s="7"/>
    </row>
    <row r="11" spans="1:5">
      <c r="A11"/>
      <c r="B11"/>
      <c r="C11"/>
      <c r="D11"/>
      <c r="E11" s="7"/>
    </row>
    <row r="12" spans="1:5">
      <c r="A12"/>
      <c r="B12"/>
      <c r="C12"/>
      <c r="D12"/>
      <c r="E12" s="7"/>
    </row>
    <row r="13" spans="1:5">
      <c r="A13"/>
      <c r="B13"/>
      <c r="C13"/>
      <c r="D13"/>
      <c r="E13" s="7"/>
    </row>
    <row r="14" spans="1:5">
      <c r="A14"/>
      <c r="B14"/>
      <c r="C14"/>
      <c r="D14"/>
      <c r="E14" s="7"/>
    </row>
    <row r="15" spans="1:5">
      <c r="A15"/>
      <c r="B15"/>
      <c r="C15"/>
      <c r="D15"/>
      <c r="E15" s="7"/>
    </row>
    <row r="16" spans="1:5">
      <c r="A16"/>
      <c r="B16"/>
      <c r="C16"/>
      <c r="D16"/>
      <c r="E16" s="7"/>
    </row>
    <row r="17" spans="1:5">
      <c r="A17"/>
      <c r="B17"/>
      <c r="C17"/>
      <c r="D17"/>
      <c r="E17" s="7"/>
    </row>
    <row r="18" spans="1:5">
      <c r="A18"/>
      <c r="B18"/>
      <c r="C18"/>
      <c r="D18"/>
      <c r="E18" s="7"/>
    </row>
    <row r="19" spans="1:5">
      <c r="A19"/>
      <c r="B19"/>
      <c r="C19"/>
      <c r="D19" s="26"/>
      <c r="E19" s="7"/>
    </row>
    <row r="20" spans="1:5">
      <c r="A20"/>
      <c r="B20"/>
      <c r="C20"/>
      <c r="D20"/>
      <c r="E20" s="7"/>
    </row>
    <row r="21" spans="1:5">
      <c r="A21"/>
      <c r="B21"/>
      <c r="C21"/>
      <c r="D21"/>
      <c r="E21" s="7"/>
    </row>
    <row r="22" spans="1:5">
      <c r="A22"/>
      <c r="B22"/>
      <c r="C22"/>
      <c r="D22"/>
      <c r="E22" s="7"/>
    </row>
    <row r="23" spans="1:5">
      <c r="A23"/>
      <c r="B23"/>
      <c r="C23"/>
      <c r="D23"/>
      <c r="E23" s="7"/>
    </row>
    <row r="24" spans="1:5">
      <c r="A24"/>
      <c r="B24"/>
      <c r="C24"/>
      <c r="D24"/>
      <c r="E24" s="7"/>
    </row>
    <row r="25" spans="1:5">
      <c r="A25"/>
      <c r="B25"/>
      <c r="C25"/>
      <c r="D25"/>
      <c r="E25" s="7"/>
    </row>
    <row r="26" spans="1:5">
      <c r="A26"/>
      <c r="B26"/>
      <c r="C26"/>
      <c r="D26"/>
      <c r="E26" s="7"/>
    </row>
    <row r="27" spans="1:5">
      <c r="A27"/>
      <c r="B27"/>
      <c r="C27"/>
      <c r="D27"/>
      <c r="E27" s="7"/>
    </row>
    <row r="28" spans="1:5">
      <c r="A28"/>
      <c r="B28"/>
      <c r="C28"/>
      <c r="D28"/>
      <c r="E28" s="7"/>
    </row>
    <row r="29" spans="1:5">
      <c r="A29"/>
      <c r="B29"/>
      <c r="C29"/>
      <c r="D29"/>
      <c r="E29" s="7"/>
    </row>
    <row r="30" spans="1:5">
      <c r="A30"/>
      <c r="B30"/>
      <c r="C30"/>
      <c r="D30"/>
      <c r="E30" s="7"/>
    </row>
    <row r="31" spans="1:5">
      <c r="A31"/>
      <c r="B31"/>
      <c r="C31"/>
      <c r="D31"/>
      <c r="E31" s="7"/>
    </row>
    <row r="32" spans="1:5">
      <c r="A32"/>
      <c r="B32"/>
      <c r="C32"/>
      <c r="D32"/>
      <c r="E32" s="7"/>
    </row>
    <row r="33" spans="1:5">
      <c r="A33"/>
      <c r="B33"/>
      <c r="C33"/>
      <c r="D33"/>
      <c r="E33" s="7"/>
    </row>
    <row r="34" spans="1:5">
      <c r="A34"/>
      <c r="B34"/>
      <c r="C34"/>
      <c r="D34"/>
      <c r="E34" s="7"/>
    </row>
    <row r="35" spans="1:5">
      <c r="A35"/>
      <c r="B35"/>
      <c r="C35"/>
      <c r="D35"/>
      <c r="E35" s="7"/>
    </row>
    <row r="36" spans="1:5">
      <c r="A36"/>
      <c r="B36"/>
      <c r="C36"/>
      <c r="D36"/>
      <c r="E36" s="7"/>
    </row>
    <row r="37" spans="1:5">
      <c r="A37"/>
      <c r="B37"/>
      <c r="C37"/>
      <c r="D37"/>
      <c r="E37" s="7"/>
    </row>
    <row r="38" spans="1:5">
      <c r="A38"/>
      <c r="B38"/>
      <c r="C38"/>
      <c r="D38"/>
      <c r="E38" s="7"/>
    </row>
    <row r="39" spans="1:5">
      <c r="A39"/>
      <c r="B39"/>
      <c r="C39"/>
      <c r="D39"/>
      <c r="E39" s="7"/>
    </row>
    <row r="40" spans="1:5">
      <c r="A40"/>
      <c r="B40"/>
      <c r="C40"/>
      <c r="D40"/>
      <c r="E40" s="7"/>
    </row>
    <row r="41" spans="1:5">
      <c r="A41"/>
      <c r="B41"/>
      <c r="C41"/>
      <c r="D41"/>
      <c r="E41" s="7"/>
    </row>
    <row r="42" spans="1:5">
      <c r="A42"/>
      <c r="B42"/>
      <c r="C42"/>
      <c r="D42"/>
      <c r="E42" s="7"/>
    </row>
    <row r="43" spans="1:5">
      <c r="A43"/>
      <c r="B43"/>
      <c r="C43"/>
      <c r="D43"/>
      <c r="E43" s="7"/>
    </row>
    <row r="44" spans="1:5">
      <c r="A44"/>
      <c r="B44"/>
      <c r="C44"/>
      <c r="D44"/>
      <c r="E44" s="7"/>
    </row>
    <row r="45" spans="1:5">
      <c r="A45"/>
      <c r="B45"/>
      <c r="C45"/>
      <c r="D45"/>
      <c r="E45" s="7"/>
    </row>
    <row r="46" spans="1:5">
      <c r="A46"/>
      <c r="B46"/>
      <c r="C46"/>
      <c r="D46"/>
      <c r="E46" s="7"/>
    </row>
    <row r="47" spans="1:5">
      <c r="A47"/>
      <c r="B47"/>
      <c r="C47"/>
      <c r="D47"/>
      <c r="E47" s="7"/>
    </row>
    <row r="48" spans="1:5">
      <c r="A48"/>
      <c r="B48"/>
      <c r="C48"/>
      <c r="D48"/>
      <c r="E48" s="7"/>
    </row>
    <row r="49" spans="1:5">
      <c r="A49"/>
      <c r="B49"/>
      <c r="C49"/>
      <c r="D49"/>
      <c r="E49" s="7"/>
    </row>
    <row r="50" spans="1:5">
      <c r="A50"/>
      <c r="B50"/>
      <c r="C50"/>
      <c r="D50"/>
      <c r="E50" s="7"/>
    </row>
    <row r="51" spans="1:5">
      <c r="A51"/>
      <c r="B51"/>
      <c r="C51"/>
      <c r="D51"/>
      <c r="E51" s="7"/>
    </row>
    <row r="52" spans="1:5">
      <c r="A52"/>
      <c r="B52"/>
      <c r="C52"/>
      <c r="D52"/>
      <c r="E52" s="7"/>
    </row>
    <row r="53" spans="1:5">
      <c r="A53"/>
      <c r="B53"/>
      <c r="C53"/>
      <c r="D53" s="26"/>
      <c r="E53" s="7"/>
    </row>
    <row r="54" spans="1:5">
      <c r="A54"/>
      <c r="B54"/>
      <c r="C54"/>
      <c r="D54"/>
      <c r="E54" s="7"/>
    </row>
    <row r="55" spans="1:5">
      <c r="A55"/>
      <c r="B55"/>
      <c r="C55"/>
      <c r="D55"/>
      <c r="E55" s="7"/>
    </row>
    <row r="56" spans="1:5">
      <c r="A56"/>
      <c r="B56"/>
      <c r="C56"/>
      <c r="D56"/>
      <c r="E56" s="7"/>
    </row>
    <row r="57" spans="1:5">
      <c r="A57"/>
      <c r="B57"/>
      <c r="C57"/>
      <c r="D57"/>
      <c r="E57" s="7"/>
    </row>
    <row r="58" spans="1:5">
      <c r="A58"/>
      <c r="B58"/>
      <c r="C58"/>
      <c r="D58"/>
      <c r="E58" s="7"/>
    </row>
    <row r="59" spans="1:5">
      <c r="A59"/>
      <c r="B59"/>
      <c r="C59"/>
      <c r="D59"/>
      <c r="E59" s="7"/>
    </row>
    <row r="60" spans="1:5">
      <c r="A60"/>
      <c r="B60"/>
      <c r="C60"/>
      <c r="D60"/>
      <c r="E60" s="7"/>
    </row>
    <row r="61" spans="1:5">
      <c r="A61"/>
      <c r="B61"/>
      <c r="C61"/>
      <c r="D61"/>
      <c r="E61" s="7"/>
    </row>
    <row r="62" spans="1:5">
      <c r="A62"/>
      <c r="B62"/>
      <c r="C62"/>
      <c r="D62"/>
      <c r="E62" s="7"/>
    </row>
    <row r="63" spans="1:5">
      <c r="A63"/>
      <c r="B63"/>
      <c r="C63"/>
      <c r="D63"/>
      <c r="E63" s="7"/>
    </row>
    <row r="64" spans="1:5">
      <c r="A64"/>
      <c r="B64"/>
      <c r="C64"/>
      <c r="D64"/>
      <c r="E64" s="7"/>
    </row>
    <row r="65" spans="1:5">
      <c r="A65"/>
      <c r="B65"/>
      <c r="C65"/>
      <c r="D65"/>
      <c r="E65" s="7"/>
    </row>
    <row r="66" spans="1:5">
      <c r="A66"/>
      <c r="B66"/>
      <c r="C66"/>
      <c r="D66"/>
      <c r="E66" s="7"/>
    </row>
    <row r="67" spans="1:5">
      <c r="A67"/>
      <c r="B67"/>
      <c r="C67"/>
      <c r="D67"/>
      <c r="E67" s="7"/>
    </row>
    <row r="68" spans="1:5">
      <c r="A68"/>
      <c r="B68"/>
      <c r="C68"/>
      <c r="D68"/>
      <c r="E68" s="7"/>
    </row>
    <row r="69" spans="1:5">
      <c r="A69"/>
      <c r="B69"/>
      <c r="C69"/>
      <c r="D69"/>
      <c r="E69" s="7"/>
    </row>
    <row r="70" spans="1:5">
      <c r="A70"/>
      <c r="B70"/>
      <c r="C70"/>
      <c r="D70"/>
      <c r="E70" s="7"/>
    </row>
    <row r="71" spans="1:5">
      <c r="A71"/>
      <c r="B71"/>
      <c r="C71"/>
      <c r="D71"/>
      <c r="E71" s="7"/>
    </row>
    <row r="72" spans="1:5">
      <c r="A72"/>
      <c r="B72"/>
      <c r="C72"/>
      <c r="D72"/>
      <c r="E72" s="7"/>
    </row>
    <row r="73" spans="1:5">
      <c r="A73"/>
      <c r="B73"/>
      <c r="C73"/>
      <c r="D73"/>
      <c r="E73" s="7"/>
    </row>
    <row r="74" spans="1:5">
      <c r="A74"/>
      <c r="B74" s="40"/>
      <c r="C74"/>
      <c r="D74"/>
      <c r="E74" s="7"/>
    </row>
    <row r="75" spans="1:5">
      <c r="A75"/>
      <c r="B75"/>
      <c r="C75"/>
      <c r="D75"/>
      <c r="E75" s="7"/>
    </row>
    <row r="76" spans="1:5">
      <c r="A76"/>
      <c r="B76"/>
      <c r="C76"/>
      <c r="D76"/>
      <c r="E76" s="7"/>
    </row>
    <row r="77" spans="1:5">
      <c r="A77"/>
      <c r="B77"/>
      <c r="C77"/>
      <c r="D77"/>
      <c r="E77" s="7"/>
    </row>
    <row r="78" spans="1:5">
      <c r="A78"/>
      <c r="B78"/>
      <c r="C78"/>
      <c r="D78"/>
      <c r="E78" s="7"/>
    </row>
    <row r="79" spans="1:5">
      <c r="A79"/>
      <c r="B79"/>
      <c r="C79"/>
      <c r="D79"/>
      <c r="E79" s="7"/>
    </row>
    <row r="80" spans="1:5">
      <c r="A80"/>
      <c r="B80"/>
      <c r="C80"/>
      <c r="D80"/>
      <c r="E80" s="7"/>
    </row>
    <row r="81" spans="1:5">
      <c r="A81"/>
      <c r="B81"/>
      <c r="C81"/>
      <c r="D81"/>
      <c r="E81" s="7"/>
    </row>
    <row r="82" spans="1:5">
      <c r="A82"/>
      <c r="B82"/>
      <c r="C82"/>
      <c r="D82"/>
      <c r="E82" s="7"/>
    </row>
    <row r="83" spans="1:5">
      <c r="A83"/>
      <c r="B83"/>
      <c r="C83"/>
      <c r="D83"/>
      <c r="E83" s="7"/>
    </row>
    <row r="84" spans="1:5">
      <c r="A84"/>
      <c r="B84"/>
      <c r="C84"/>
      <c r="D84"/>
      <c r="E84" s="7"/>
    </row>
    <row r="85" spans="1:5">
      <c r="A85"/>
      <c r="B85"/>
      <c r="C85"/>
      <c r="D85"/>
      <c r="E85" s="7"/>
    </row>
    <row r="86" spans="1:5">
      <c r="A86"/>
      <c r="B86"/>
      <c r="C86"/>
      <c r="D86"/>
      <c r="E86" s="7"/>
    </row>
    <row r="87" spans="1:5">
      <c r="A87"/>
      <c r="B87"/>
      <c r="C87"/>
      <c r="D87"/>
      <c r="E87" s="7"/>
    </row>
    <row r="88" spans="1:5">
      <c r="A88"/>
      <c r="B88"/>
      <c r="C88"/>
      <c r="D88"/>
      <c r="E88" s="7"/>
    </row>
    <row r="89" spans="1:5">
      <c r="A89"/>
      <c r="B89"/>
      <c r="C89"/>
      <c r="D89"/>
      <c r="E89" s="7"/>
    </row>
    <row r="90" spans="1:5">
      <c r="A90"/>
      <c r="B90"/>
      <c r="C90"/>
      <c r="D90"/>
      <c r="E90" s="7"/>
    </row>
    <row r="91" spans="1:5">
      <c r="A91"/>
      <c r="B91"/>
      <c r="C91"/>
      <c r="D91"/>
      <c r="E91" s="7"/>
    </row>
    <row r="92" spans="1:5">
      <c r="A92"/>
      <c r="B92"/>
      <c r="C92"/>
      <c r="D92"/>
      <c r="E92" s="7"/>
    </row>
    <row r="93" spans="1:5">
      <c r="A93"/>
      <c r="B93"/>
      <c r="C93"/>
      <c r="D93"/>
      <c r="E93" s="7"/>
    </row>
    <row r="94" spans="1:5">
      <c r="A94"/>
      <c r="B94"/>
      <c r="C94"/>
      <c r="D94"/>
      <c r="E94" s="7"/>
    </row>
    <row r="95" spans="1:5">
      <c r="A95"/>
      <c r="B95"/>
      <c r="C95"/>
      <c r="D95"/>
      <c r="E95" s="7"/>
    </row>
    <row r="96" spans="1:5">
      <c r="A96"/>
      <c r="B96"/>
      <c r="C96"/>
      <c r="D96"/>
      <c r="E96" s="7"/>
    </row>
    <row r="97" spans="1:5">
      <c r="A97"/>
      <c r="B97"/>
      <c r="C97"/>
      <c r="D97"/>
      <c r="E97" s="7"/>
    </row>
    <row r="98" spans="1:5">
      <c r="A98"/>
      <c r="B98"/>
      <c r="C98"/>
      <c r="D98"/>
      <c r="E98" s="7"/>
    </row>
    <row r="99" spans="1:5">
      <c r="A99"/>
      <c r="B99"/>
      <c r="C99"/>
      <c r="D99"/>
      <c r="E99" s="7"/>
    </row>
    <row r="100" spans="1:5">
      <c r="A100"/>
      <c r="B100"/>
      <c r="C100"/>
      <c r="D100"/>
      <c r="E100" s="7"/>
    </row>
    <row r="101" spans="1:5">
      <c r="A101"/>
      <c r="B101"/>
      <c r="C101"/>
      <c r="D101"/>
      <c r="E101" s="7"/>
    </row>
    <row r="102" spans="1:5">
      <c r="A102"/>
      <c r="B102"/>
      <c r="C102"/>
      <c r="D102"/>
      <c r="E102" s="7"/>
    </row>
    <row r="103" spans="1:5">
      <c r="A103"/>
      <c r="B103"/>
      <c r="C103"/>
      <c r="D103"/>
      <c r="E103" s="7"/>
    </row>
    <row r="104" spans="1:5">
      <c r="A104"/>
      <c r="B104"/>
      <c r="C104"/>
      <c r="D104"/>
      <c r="E104" s="7"/>
    </row>
    <row r="105" spans="1:5">
      <c r="A105"/>
      <c r="B105"/>
      <c r="C105"/>
      <c r="D105"/>
      <c r="E105" s="7"/>
    </row>
    <row r="106" spans="1:5">
      <c r="A106"/>
      <c r="B106"/>
      <c r="C106"/>
      <c r="D106"/>
      <c r="E106" s="7"/>
    </row>
    <row r="107" spans="1:5">
      <c r="A107"/>
      <c r="B107"/>
      <c r="C107"/>
      <c r="D107"/>
      <c r="E107" s="7"/>
    </row>
    <row r="108" spans="1:5">
      <c r="A108"/>
      <c r="B108"/>
      <c r="C108"/>
      <c r="D108"/>
      <c r="E108" s="7"/>
    </row>
    <row r="109" spans="1:5">
      <c r="A109"/>
      <c r="B109"/>
      <c r="C109"/>
      <c r="D109"/>
      <c r="E109" s="7"/>
    </row>
    <row r="110" spans="1:5">
      <c r="A110"/>
      <c r="B110"/>
      <c r="C110"/>
      <c r="D110"/>
      <c r="E110" s="7"/>
    </row>
    <row r="111" spans="1:5">
      <c r="A111"/>
      <c r="B111"/>
      <c r="C111"/>
      <c r="D111"/>
      <c r="E111" s="7"/>
    </row>
    <row r="112" spans="1:5">
      <c r="A112"/>
      <c r="B112"/>
      <c r="C112"/>
      <c r="D112"/>
      <c r="E112" s="7"/>
    </row>
    <row r="113" spans="1:5">
      <c r="A113"/>
      <c r="B113"/>
      <c r="C113"/>
      <c r="D113"/>
      <c r="E113" s="7"/>
    </row>
    <row r="114" spans="1:5">
      <c r="A114"/>
      <c r="B114"/>
      <c r="C114"/>
      <c r="D114"/>
      <c r="E114" s="7"/>
    </row>
    <row r="115" spans="1:5">
      <c r="A115"/>
      <c r="B115"/>
      <c r="C115"/>
      <c r="D115"/>
      <c r="E115" s="7"/>
    </row>
    <row r="116" spans="1:5">
      <c r="A116"/>
      <c r="B116"/>
      <c r="C116"/>
      <c r="D116"/>
      <c r="E116" s="7"/>
    </row>
    <row r="117" spans="1:5">
      <c r="A117"/>
      <c r="B117"/>
      <c r="C117"/>
      <c r="D117"/>
      <c r="E117" s="7"/>
    </row>
    <row r="118" spans="1:5">
      <c r="A118"/>
      <c r="B118"/>
      <c r="C118"/>
      <c r="D118"/>
      <c r="E118" s="7"/>
    </row>
    <row r="119" spans="1:5">
      <c r="A119"/>
      <c r="B119"/>
      <c r="C119"/>
      <c r="D119"/>
      <c r="E119" s="7"/>
    </row>
    <row r="120" spans="1:5">
      <c r="A120"/>
      <c r="B120"/>
      <c r="C120"/>
      <c r="D120"/>
      <c r="E120" s="7"/>
    </row>
    <row r="121" spans="1:5">
      <c r="A121"/>
      <c r="B121"/>
      <c r="C121"/>
      <c r="D121"/>
      <c r="E121" s="7"/>
    </row>
    <row r="122" spans="1:5">
      <c r="A122"/>
      <c r="B122"/>
      <c r="C122"/>
      <c r="D122"/>
      <c r="E122" s="7"/>
    </row>
    <row r="123" spans="1:5">
      <c r="A123"/>
      <c r="B123"/>
      <c r="C123"/>
      <c r="D123"/>
      <c r="E123" s="7"/>
    </row>
    <row r="124" spans="1:5">
      <c r="A124"/>
      <c r="B124"/>
      <c r="C124"/>
      <c r="D124"/>
      <c r="E124" s="7"/>
    </row>
    <row r="125" spans="1:5">
      <c r="A125"/>
      <c r="B125"/>
      <c r="C125"/>
      <c r="D125"/>
      <c r="E125" s="7"/>
    </row>
    <row r="126" spans="1:5">
      <c r="A126"/>
      <c r="B126"/>
      <c r="C126"/>
      <c r="D126"/>
      <c r="E126" s="7"/>
    </row>
    <row r="127" spans="1:5">
      <c r="A127"/>
      <c r="B127"/>
      <c r="C127"/>
      <c r="D127"/>
      <c r="E127" s="7"/>
    </row>
    <row r="128" spans="1:5">
      <c r="A128"/>
      <c r="B128"/>
      <c r="C128"/>
      <c r="D128"/>
      <c r="E128" s="7"/>
    </row>
    <row r="129" spans="1:5">
      <c r="A129"/>
      <c r="B129"/>
      <c r="C129"/>
      <c r="D129"/>
      <c r="E129" s="7"/>
    </row>
    <row r="130" spans="1:5">
      <c r="A130"/>
      <c r="B130"/>
      <c r="C130"/>
      <c r="D130"/>
      <c r="E130" s="7"/>
    </row>
    <row r="131" spans="1:5">
      <c r="A131"/>
      <c r="B131"/>
      <c r="C131"/>
      <c r="D131"/>
      <c r="E131" s="7"/>
    </row>
    <row r="132" spans="1:5">
      <c r="A132"/>
      <c r="B132"/>
      <c r="C132"/>
      <c r="D132"/>
      <c r="E132" s="7"/>
    </row>
    <row r="133" spans="1:5">
      <c r="A133"/>
      <c r="B133"/>
      <c r="C133"/>
      <c r="D133"/>
      <c r="E133" s="7"/>
    </row>
    <row r="134" spans="1:5">
      <c r="A134"/>
      <c r="B134"/>
      <c r="C134"/>
      <c r="D134"/>
      <c r="E134" s="7"/>
    </row>
    <row r="135" spans="1:5">
      <c r="A135"/>
      <c r="B135"/>
      <c r="C135"/>
      <c r="D135"/>
      <c r="E135" s="7"/>
    </row>
    <row r="136" spans="1:5">
      <c r="A136"/>
      <c r="B136"/>
      <c r="C136"/>
      <c r="D136"/>
      <c r="E136" s="7"/>
    </row>
    <row r="137" spans="1:5">
      <c r="A137"/>
      <c r="B137"/>
      <c r="C137"/>
      <c r="D137"/>
      <c r="E137" s="7"/>
    </row>
    <row r="138" spans="1:5">
      <c r="A138"/>
      <c r="B138"/>
      <c r="C138"/>
      <c r="D138"/>
      <c r="E138" s="7"/>
    </row>
    <row r="139" spans="1:5">
      <c r="A139"/>
      <c r="B139"/>
      <c r="C139"/>
      <c r="D139"/>
      <c r="E139" s="7"/>
    </row>
    <row r="140" spans="1:5">
      <c r="A140"/>
      <c r="B140"/>
      <c r="C140"/>
      <c r="D140"/>
      <c r="E140" s="7"/>
    </row>
    <row r="141" spans="1:5">
      <c r="A141"/>
      <c r="B141"/>
      <c r="C141"/>
      <c r="D141"/>
      <c r="E141" s="7"/>
    </row>
    <row r="142" spans="1:5">
      <c r="A142"/>
      <c r="B142"/>
      <c r="C142"/>
      <c r="D142"/>
      <c r="E142" s="7"/>
    </row>
    <row r="143" spans="1:5">
      <c r="A143"/>
      <c r="B143"/>
      <c r="C143"/>
      <c r="D143"/>
      <c r="E143" s="7"/>
    </row>
    <row r="144" spans="1:5">
      <c r="A144"/>
      <c r="B144"/>
      <c r="C144"/>
      <c r="D144"/>
      <c r="E144" s="7"/>
    </row>
    <row r="145" spans="1:5">
      <c r="A145"/>
      <c r="B145"/>
      <c r="C145"/>
      <c r="D145"/>
      <c r="E145" s="7"/>
    </row>
    <row r="146" spans="1:5">
      <c r="A146"/>
      <c r="B146"/>
      <c r="C146"/>
      <c r="D146"/>
      <c r="E146" s="7"/>
    </row>
    <row r="147" spans="1:5">
      <c r="A147"/>
      <c r="B147"/>
      <c r="C147"/>
      <c r="D147"/>
      <c r="E147" s="7"/>
    </row>
    <row r="148" spans="1:5">
      <c r="A148"/>
      <c r="B148"/>
      <c r="C148"/>
      <c r="D148"/>
      <c r="E148" s="7"/>
    </row>
    <row r="149" spans="1:5">
      <c r="A149"/>
      <c r="B149"/>
      <c r="C149"/>
      <c r="D149"/>
      <c r="E149" s="7"/>
    </row>
    <row r="150" spans="1:5">
      <c r="A150"/>
      <c r="B150"/>
      <c r="C150"/>
      <c r="D150"/>
      <c r="E150" s="7"/>
    </row>
    <row r="151" spans="1:5">
      <c r="A151"/>
      <c r="B151"/>
      <c r="C151"/>
      <c r="D151"/>
      <c r="E151" s="7"/>
    </row>
    <row r="152" spans="1:5">
      <c r="A152"/>
      <c r="B152"/>
      <c r="C152"/>
      <c r="D152"/>
      <c r="E152" s="7"/>
    </row>
    <row r="153" spans="1:5">
      <c r="A153"/>
      <c r="B153"/>
      <c r="C153"/>
      <c r="D153"/>
      <c r="E153" s="7"/>
    </row>
    <row r="154" spans="1:5">
      <c r="A154"/>
      <c r="B154"/>
      <c r="C154"/>
      <c r="D154"/>
      <c r="E154" s="7"/>
    </row>
    <row r="155" spans="1:5">
      <c r="A155"/>
      <c r="B155"/>
      <c r="C155"/>
      <c r="D155"/>
      <c r="E155" s="7"/>
    </row>
    <row r="156" spans="1:5">
      <c r="A156"/>
      <c r="B156"/>
      <c r="C156"/>
      <c r="D156"/>
      <c r="E156" s="7"/>
    </row>
    <row r="157" spans="1:5">
      <c r="A157"/>
      <c r="B157"/>
      <c r="C157"/>
      <c r="D157"/>
      <c r="E157" s="7"/>
    </row>
    <row r="158" spans="1:5">
      <c r="A158"/>
      <c r="B158"/>
      <c r="C158"/>
      <c r="D158"/>
      <c r="E158" s="7"/>
    </row>
    <row r="159" spans="1:5">
      <c r="A159"/>
      <c r="B159"/>
      <c r="C159" s="95"/>
      <c r="D159"/>
      <c r="E159" s="7"/>
    </row>
    <row r="160" spans="1:5">
      <c r="A160"/>
      <c r="B160"/>
      <c r="C160"/>
      <c r="D160"/>
      <c r="E160" s="7"/>
    </row>
    <row r="161" spans="1:5">
      <c r="A161"/>
      <c r="B161"/>
      <c r="C161"/>
      <c r="D161"/>
      <c r="E161" s="7"/>
    </row>
    <row r="162" spans="1:5">
      <c r="A162"/>
      <c r="B162"/>
      <c r="C162"/>
      <c r="D162"/>
      <c r="E162" s="7"/>
    </row>
    <row r="163" spans="1:5">
      <c r="A163"/>
      <c r="B163"/>
      <c r="C163"/>
      <c r="D163"/>
      <c r="E163" s="7"/>
    </row>
    <row r="164" spans="1:5">
      <c r="A164"/>
      <c r="B164"/>
      <c r="C164"/>
      <c r="D164"/>
      <c r="E164" s="7"/>
    </row>
    <row r="165" spans="1:5">
      <c r="A165"/>
      <c r="B165"/>
      <c r="C165"/>
      <c r="D165"/>
      <c r="E165" s="7"/>
    </row>
    <row r="166" spans="1:5">
      <c r="A166"/>
      <c r="B166"/>
      <c r="C166"/>
      <c r="D166"/>
      <c r="E166" s="7"/>
    </row>
    <row r="167" spans="1:5">
      <c r="A167"/>
      <c r="B167"/>
      <c r="C167"/>
      <c r="D167"/>
      <c r="E167" s="7"/>
    </row>
    <row r="168" spans="1:5">
      <c r="A168"/>
      <c r="B168"/>
      <c r="C168"/>
      <c r="D168"/>
      <c r="E168" s="7"/>
    </row>
    <row r="169" spans="1:5">
      <c r="A169"/>
      <c r="B169"/>
      <c r="C169"/>
      <c r="D169"/>
      <c r="E169" s="7"/>
    </row>
    <row r="170" spans="1:5">
      <c r="A170"/>
      <c r="B170"/>
      <c r="C170"/>
      <c r="D170"/>
      <c r="E170" s="7"/>
    </row>
    <row r="171" spans="1:5">
      <c r="A171"/>
      <c r="B171"/>
      <c r="C171"/>
      <c r="D171"/>
      <c r="E171" s="7"/>
    </row>
    <row r="172" spans="1:5">
      <c r="A172"/>
      <c r="B172"/>
      <c r="C172"/>
      <c r="D172"/>
      <c r="E172" s="7"/>
    </row>
    <row r="173" spans="1:5">
      <c r="A173"/>
      <c r="B173"/>
      <c r="C173"/>
      <c r="D173"/>
      <c r="E173" s="7"/>
    </row>
    <row r="174" spans="1:5">
      <c r="A174"/>
      <c r="B174"/>
      <c r="C174"/>
      <c r="D174"/>
      <c r="E174" s="7"/>
    </row>
    <row r="175" spans="1:5">
      <c r="A175"/>
      <c r="B175"/>
      <c r="C175"/>
      <c r="D175"/>
      <c r="E175" s="7"/>
    </row>
    <row r="176" spans="1:5">
      <c r="A176"/>
      <c r="B176"/>
      <c r="C176"/>
      <c r="D176" s="26"/>
      <c r="E176" s="7"/>
    </row>
    <row r="177" spans="1:5">
      <c r="A177"/>
      <c r="B177"/>
      <c r="C177"/>
      <c r="D177"/>
      <c r="E177" s="7"/>
    </row>
    <row r="178" spans="1:5">
      <c r="A178"/>
      <c r="B178"/>
      <c r="C178"/>
      <c r="D178"/>
      <c r="E178" s="7"/>
    </row>
    <row r="179" spans="1:5">
      <c r="A179"/>
      <c r="B179"/>
      <c r="C179"/>
      <c r="D179"/>
      <c r="E179" s="7"/>
    </row>
    <row r="180" spans="1:5">
      <c r="A180"/>
      <c r="B180"/>
      <c r="C180"/>
      <c r="D180"/>
      <c r="E180" s="7"/>
    </row>
    <row r="181" spans="1:5">
      <c r="A181"/>
      <c r="B181"/>
      <c r="C181"/>
      <c r="D181"/>
      <c r="E181" s="7"/>
    </row>
    <row r="182" spans="1:5">
      <c r="A182"/>
      <c r="B182"/>
      <c r="C182"/>
      <c r="D182" s="26"/>
      <c r="E182" s="7"/>
    </row>
    <row r="183" spans="1:5">
      <c r="A183"/>
      <c r="B183"/>
      <c r="C183"/>
      <c r="D183"/>
      <c r="E183" s="7"/>
    </row>
    <row r="184" spans="1:5">
      <c r="A184"/>
      <c r="B184"/>
      <c r="C184"/>
      <c r="D184"/>
      <c r="E184" s="7"/>
    </row>
    <row r="185" spans="1:5">
      <c r="A185"/>
      <c r="B185"/>
      <c r="C185"/>
      <c r="D185"/>
      <c r="E185" s="7"/>
    </row>
    <row r="186" spans="1:5">
      <c r="A186"/>
      <c r="B186"/>
      <c r="C186"/>
      <c r="D186"/>
      <c r="E186" s="7"/>
    </row>
    <row r="187" spans="1:5">
      <c r="A187"/>
      <c r="B187"/>
      <c r="C187"/>
      <c r="D187"/>
      <c r="E187" s="7"/>
    </row>
    <row r="188" spans="1:5">
      <c r="A188"/>
      <c r="B188"/>
      <c r="C188"/>
      <c r="D188"/>
      <c r="E188" s="7"/>
    </row>
    <row r="189" spans="1:5">
      <c r="A189"/>
      <c r="B189"/>
      <c r="C189"/>
      <c r="D189"/>
      <c r="E189" s="7"/>
    </row>
    <row r="190" spans="1:5">
      <c r="A190"/>
      <c r="B190"/>
      <c r="C190"/>
      <c r="D190"/>
      <c r="E190" s="7"/>
    </row>
    <row r="191" spans="1:5">
      <c r="A191"/>
      <c r="B191"/>
      <c r="C191"/>
      <c r="D191"/>
      <c r="E191" s="7"/>
    </row>
    <row r="192" spans="1:5">
      <c r="A192"/>
      <c r="B192"/>
      <c r="C192"/>
      <c r="D192"/>
      <c r="E192" s="7"/>
    </row>
    <row r="193" spans="1:5">
      <c r="A193"/>
      <c r="B193"/>
      <c r="C193"/>
      <c r="D193"/>
      <c r="E193" s="7"/>
    </row>
    <row r="194" spans="1:5">
      <c r="A194"/>
      <c r="B194"/>
      <c r="C194"/>
      <c r="D194"/>
      <c r="E194" s="7"/>
    </row>
    <row r="195" spans="1:5">
      <c r="A195"/>
      <c r="B195"/>
      <c r="C195"/>
      <c r="D195"/>
      <c r="E195" s="7"/>
    </row>
    <row r="196" spans="1:5">
      <c r="A196"/>
      <c r="B196"/>
      <c r="C196"/>
      <c r="D196"/>
      <c r="E196" s="7"/>
    </row>
    <row r="197" spans="1:5">
      <c r="A197"/>
      <c r="B197"/>
      <c r="C197"/>
      <c r="D197"/>
      <c r="E197" s="7"/>
    </row>
    <row r="198" spans="1:5">
      <c r="A198"/>
      <c r="B198"/>
      <c r="C198"/>
      <c r="D198"/>
      <c r="E198" s="7"/>
    </row>
    <row r="199" spans="1:5">
      <c r="A199"/>
      <c r="B199"/>
      <c r="C199"/>
      <c r="D199"/>
      <c r="E199" s="7"/>
    </row>
    <row r="200" spans="1:5">
      <c r="A200"/>
      <c r="B200"/>
      <c r="C200"/>
      <c r="D200"/>
      <c r="E200" s="7"/>
    </row>
    <row r="201" spans="1:5">
      <c r="A201"/>
      <c r="B201"/>
      <c r="C201"/>
      <c r="D201"/>
      <c r="E201" s="7"/>
    </row>
    <row r="202" spans="1:5">
      <c r="A202"/>
      <c r="B202"/>
      <c r="C202"/>
      <c r="D202" s="26"/>
      <c r="E202" s="7"/>
    </row>
    <row r="203" spans="1:5">
      <c r="A203"/>
      <c r="B203"/>
      <c r="C203"/>
      <c r="D203"/>
      <c r="E203" s="7"/>
    </row>
    <row r="204" spans="1:5">
      <c r="A204"/>
      <c r="B204"/>
      <c r="C204"/>
      <c r="D204"/>
      <c r="E204" s="7"/>
    </row>
    <row r="205" spans="1:5">
      <c r="A205"/>
      <c r="B205"/>
      <c r="C205"/>
      <c r="D205"/>
      <c r="E205" s="7"/>
    </row>
    <row r="206" spans="1:5">
      <c r="A206"/>
      <c r="B206"/>
      <c r="C206"/>
      <c r="D206"/>
      <c r="E206" s="7"/>
    </row>
    <row r="207" spans="1:5">
      <c r="A207"/>
      <c r="B207"/>
      <c r="C207"/>
      <c r="D207"/>
      <c r="E207" s="7"/>
    </row>
    <row r="208" spans="1:5">
      <c r="A208"/>
      <c r="B208"/>
      <c r="C208"/>
      <c r="D208"/>
      <c r="E208" s="7"/>
    </row>
    <row r="209" spans="1:5">
      <c r="A209"/>
      <c r="B209"/>
      <c r="C209"/>
      <c r="D209"/>
      <c r="E209" s="7"/>
    </row>
    <row r="210" spans="1:5">
      <c r="A210"/>
      <c r="B210"/>
      <c r="C210"/>
      <c r="D210"/>
      <c r="E210" s="7"/>
    </row>
    <row r="211" spans="1:5">
      <c r="A211"/>
      <c r="B211"/>
      <c r="C211"/>
      <c r="D211"/>
      <c r="E211" s="7"/>
    </row>
    <row r="212" spans="1:5">
      <c r="A212"/>
      <c r="B212"/>
      <c r="C212"/>
      <c r="D212"/>
      <c r="E212" s="7"/>
    </row>
    <row r="213" spans="1:5">
      <c r="A213"/>
      <c r="B213"/>
      <c r="C213"/>
      <c r="D213"/>
      <c r="E213" s="7"/>
    </row>
    <row r="214" spans="1:5">
      <c r="A214"/>
      <c r="B214"/>
      <c r="C214"/>
      <c r="D214"/>
      <c r="E214" s="7"/>
    </row>
    <row r="215" spans="1:5">
      <c r="A215"/>
      <c r="B215"/>
      <c r="C215"/>
      <c r="D215"/>
      <c r="E215" s="7"/>
    </row>
    <row r="216" spans="1:5">
      <c r="A216"/>
      <c r="B216"/>
      <c r="C216"/>
      <c r="D216"/>
      <c r="E216" s="7"/>
    </row>
    <row r="217" spans="1:5">
      <c r="A217"/>
      <c r="B217"/>
      <c r="C217"/>
      <c r="D217"/>
      <c r="E217" s="7"/>
    </row>
    <row r="218" spans="1:5">
      <c r="A218"/>
      <c r="B218"/>
      <c r="C218"/>
      <c r="D218"/>
      <c r="E218" s="7"/>
    </row>
    <row r="219" spans="1:5">
      <c r="A219"/>
      <c r="B219"/>
      <c r="C219"/>
      <c r="D219"/>
      <c r="E219" s="7"/>
    </row>
    <row r="220" spans="1:5">
      <c r="A220"/>
      <c r="B220"/>
      <c r="C220"/>
      <c r="D220"/>
      <c r="E220" s="7"/>
    </row>
    <row r="221" spans="1:5">
      <c r="A221"/>
      <c r="B221"/>
      <c r="C221"/>
      <c r="D221"/>
      <c r="E221" s="7"/>
    </row>
    <row r="222" spans="1:5">
      <c r="A222"/>
      <c r="B222"/>
      <c r="C222"/>
      <c r="D222"/>
      <c r="E222" s="7"/>
    </row>
    <row r="223" spans="1:5">
      <c r="A223"/>
      <c r="B223"/>
      <c r="C223"/>
      <c r="D223"/>
      <c r="E223" s="7"/>
    </row>
    <row r="224" spans="1:5">
      <c r="A224"/>
      <c r="B224"/>
      <c r="C224"/>
      <c r="D224"/>
      <c r="E224" s="7"/>
    </row>
    <row r="225" spans="1:5">
      <c r="A225"/>
      <c r="B225"/>
      <c r="C225"/>
      <c r="D225"/>
      <c r="E225" s="7"/>
    </row>
    <row r="226" spans="1:5">
      <c r="A226"/>
      <c r="B226"/>
      <c r="C226"/>
      <c r="D226"/>
      <c r="E226" s="7"/>
    </row>
    <row r="227" spans="1:5">
      <c r="A227"/>
      <c r="B227"/>
      <c r="C227"/>
      <c r="D227"/>
      <c r="E227" s="7"/>
    </row>
    <row r="228" spans="1:5">
      <c r="A228"/>
      <c r="B228"/>
      <c r="C228"/>
      <c r="D228"/>
      <c r="E228" s="7"/>
    </row>
    <row r="229" spans="1:5">
      <c r="A229"/>
      <c r="B229"/>
      <c r="C229"/>
      <c r="D229"/>
      <c r="E229" s="7"/>
    </row>
    <row r="230" spans="1:5">
      <c r="A230"/>
      <c r="B230"/>
      <c r="C230"/>
      <c r="D230"/>
      <c r="E230" s="7"/>
    </row>
    <row r="231" spans="1:5">
      <c r="A231"/>
      <c r="B231"/>
      <c r="C231"/>
      <c r="D231"/>
      <c r="E231" s="7"/>
    </row>
    <row r="232" spans="1:5">
      <c r="A232"/>
      <c r="B232"/>
      <c r="C232"/>
      <c r="D232"/>
      <c r="E232" s="7"/>
    </row>
    <row r="233" spans="1:5">
      <c r="A233"/>
      <c r="B233"/>
      <c r="C233"/>
      <c r="D233"/>
      <c r="E233" s="7"/>
    </row>
    <row r="234" spans="1:5">
      <c r="A234"/>
      <c r="B234"/>
      <c r="C234"/>
      <c r="D234"/>
      <c r="E234" s="7"/>
    </row>
    <row r="235" spans="1:5">
      <c r="A235"/>
      <c r="B235"/>
      <c r="C235"/>
      <c r="D235"/>
      <c r="E235" s="7"/>
    </row>
    <row r="236" spans="1:5">
      <c r="A236"/>
      <c r="B236"/>
      <c r="C236"/>
      <c r="D236"/>
      <c r="E236" s="7"/>
    </row>
    <row r="237" spans="1:5">
      <c r="A237"/>
      <c r="B237"/>
      <c r="C237"/>
      <c r="D237"/>
      <c r="E237" s="7"/>
    </row>
    <row r="238" spans="1:5">
      <c r="A238"/>
      <c r="B238"/>
      <c r="C238"/>
      <c r="D238"/>
      <c r="E238" s="7"/>
    </row>
    <row r="239" spans="1:5">
      <c r="A239"/>
      <c r="B239"/>
      <c r="C239"/>
      <c r="D239"/>
      <c r="E239" s="7"/>
    </row>
    <row r="240" spans="1:5">
      <c r="A240"/>
      <c r="B240"/>
      <c r="C240"/>
      <c r="D240"/>
      <c r="E240" s="7"/>
    </row>
    <row r="241" spans="1:5">
      <c r="A241"/>
      <c r="B241"/>
      <c r="C241"/>
      <c r="D241"/>
      <c r="E241" s="7"/>
    </row>
    <row r="242" spans="1:5">
      <c r="A242"/>
      <c r="B242"/>
      <c r="C242"/>
      <c r="D242"/>
      <c r="E242" s="7"/>
    </row>
    <row r="243" spans="1:5">
      <c r="A243"/>
      <c r="B243"/>
      <c r="C243"/>
      <c r="D243"/>
      <c r="E243" s="7"/>
    </row>
    <row r="244" spans="1:5">
      <c r="A244"/>
      <c r="B244"/>
      <c r="C244"/>
      <c r="D244"/>
      <c r="E244" s="7"/>
    </row>
    <row r="245" spans="1:5">
      <c r="A245"/>
      <c r="B245"/>
      <c r="C245"/>
      <c r="D245"/>
      <c r="E245" s="7"/>
    </row>
    <row r="246" spans="1:5">
      <c r="A246"/>
      <c r="B246"/>
      <c r="C246"/>
      <c r="D246"/>
      <c r="E246" s="7"/>
    </row>
    <row r="247" spans="1:5">
      <c r="A247"/>
      <c r="B247"/>
      <c r="C247"/>
      <c r="D247"/>
      <c r="E247" s="7"/>
    </row>
    <row r="248" spans="1:5">
      <c r="A248"/>
      <c r="B248"/>
      <c r="C248"/>
      <c r="D248" s="26"/>
      <c r="E248" s="7"/>
    </row>
    <row r="249" spans="1:5">
      <c r="A249"/>
      <c r="B249"/>
      <c r="C249"/>
      <c r="D249"/>
      <c r="E249" s="7"/>
    </row>
    <row r="250" spans="1:5">
      <c r="A250"/>
      <c r="B250"/>
      <c r="C250"/>
      <c r="D250"/>
      <c r="E250" s="7"/>
    </row>
    <row r="251" spans="1:5">
      <c r="A251"/>
      <c r="B251"/>
      <c r="C251"/>
      <c r="D251"/>
      <c r="E251" s="7"/>
    </row>
    <row r="252" spans="1:5">
      <c r="A252"/>
      <c r="B252"/>
      <c r="C252"/>
      <c r="D252"/>
      <c r="E252" s="7"/>
    </row>
    <row r="253" spans="1:5">
      <c r="A253"/>
      <c r="B253"/>
      <c r="C253"/>
      <c r="D253"/>
      <c r="E253" s="7"/>
    </row>
    <row r="254" spans="1:5">
      <c r="A254"/>
      <c r="B254"/>
      <c r="C254"/>
      <c r="D254"/>
      <c r="E254" s="7"/>
    </row>
    <row r="255" spans="1:5">
      <c r="A255"/>
      <c r="B255"/>
      <c r="C255"/>
      <c r="D255"/>
      <c r="E255" s="7"/>
    </row>
    <row r="256" spans="1:5">
      <c r="A256"/>
      <c r="B256"/>
      <c r="C256"/>
      <c r="D256"/>
      <c r="E256" s="7"/>
    </row>
    <row r="257" spans="1:5">
      <c r="A257"/>
      <c r="B257"/>
      <c r="C257"/>
      <c r="D257"/>
      <c r="E257" s="7"/>
    </row>
    <row r="258" spans="1:5">
      <c r="A258"/>
      <c r="B258"/>
      <c r="C258"/>
      <c r="D258"/>
      <c r="E258" s="7"/>
    </row>
    <row r="259" spans="1:5">
      <c r="A259"/>
      <c r="B259"/>
      <c r="C259"/>
      <c r="D259"/>
      <c r="E259" s="7"/>
    </row>
    <row r="260" spans="1:5">
      <c r="A260"/>
      <c r="B260"/>
      <c r="C260"/>
      <c r="D260"/>
      <c r="E260" s="7"/>
    </row>
    <row r="261" spans="1:5">
      <c r="A261"/>
      <c r="B261"/>
      <c r="C261"/>
      <c r="D261"/>
      <c r="E261" s="7"/>
    </row>
    <row r="262" spans="1:5">
      <c r="A262"/>
      <c r="B262"/>
      <c r="C262"/>
      <c r="D262"/>
      <c r="E262" s="7"/>
    </row>
    <row r="263" spans="1:5">
      <c r="A263"/>
      <c r="B263"/>
      <c r="C263"/>
      <c r="D263"/>
      <c r="E263" s="7"/>
    </row>
    <row r="264" spans="1:5">
      <c r="A264"/>
      <c r="B264"/>
      <c r="C264"/>
      <c r="D264"/>
      <c r="E264" s="7"/>
    </row>
    <row r="265" spans="1:5">
      <c r="A265"/>
      <c r="B265"/>
      <c r="C265"/>
      <c r="D265"/>
      <c r="E265" s="7"/>
    </row>
    <row r="266" spans="1:5">
      <c r="A266"/>
      <c r="B266"/>
      <c r="C266"/>
      <c r="D266"/>
      <c r="E266" s="7"/>
    </row>
    <row r="267" spans="1:5">
      <c r="A267"/>
      <c r="B267"/>
      <c r="C267"/>
      <c r="D267"/>
      <c r="E267" s="7"/>
    </row>
    <row r="268" spans="1:5">
      <c r="A268"/>
      <c r="B268"/>
      <c r="C268"/>
      <c r="D268"/>
      <c r="E268" s="7"/>
    </row>
    <row r="269" spans="1:5">
      <c r="A269"/>
      <c r="B269"/>
      <c r="C269"/>
      <c r="D269"/>
      <c r="E269" s="7"/>
    </row>
    <row r="270" spans="1:5">
      <c r="A270"/>
      <c r="B270"/>
      <c r="C270"/>
      <c r="D270"/>
      <c r="E270" s="7"/>
    </row>
    <row r="271" spans="1:5">
      <c r="A271"/>
      <c r="B271"/>
      <c r="C271"/>
      <c r="D271"/>
      <c r="E271" s="7"/>
    </row>
    <row r="272" spans="1:5">
      <c r="A272"/>
      <c r="B272"/>
      <c r="C272"/>
      <c r="D272"/>
      <c r="E272" s="7"/>
    </row>
    <row r="273" spans="1:5">
      <c r="A273"/>
      <c r="B273"/>
      <c r="C273"/>
      <c r="D273"/>
      <c r="E273" s="7"/>
    </row>
    <row r="274" spans="1:5">
      <c r="A274"/>
      <c r="B274"/>
      <c r="C274"/>
      <c r="D274"/>
      <c r="E274" s="7"/>
    </row>
    <row r="275" spans="1:5">
      <c r="A275"/>
      <c r="B275"/>
      <c r="C275"/>
      <c r="D275"/>
      <c r="E275" s="7"/>
    </row>
    <row r="276" spans="1:5">
      <c r="A276"/>
      <c r="B276"/>
      <c r="C276"/>
      <c r="D276"/>
      <c r="E276" s="7"/>
    </row>
    <row r="277" spans="1:5">
      <c r="A277"/>
      <c r="B277"/>
      <c r="C277"/>
      <c r="D277"/>
      <c r="E277" s="7"/>
    </row>
    <row r="278" spans="1:5">
      <c r="A278"/>
      <c r="B278"/>
      <c r="C278"/>
      <c r="D278"/>
      <c r="E278" s="7"/>
    </row>
    <row r="279" spans="1:5">
      <c r="A279"/>
      <c r="B279"/>
      <c r="C279"/>
      <c r="D279"/>
      <c r="E279" s="7"/>
    </row>
    <row r="280" spans="1:5">
      <c r="A280"/>
      <c r="B280"/>
      <c r="C280"/>
      <c r="D280"/>
      <c r="E280" s="7"/>
    </row>
    <row r="281" spans="1:5">
      <c r="A281"/>
      <c r="B281"/>
      <c r="C281"/>
      <c r="D281"/>
      <c r="E281" s="7"/>
    </row>
    <row r="282" spans="1:5">
      <c r="A282"/>
      <c r="B282"/>
      <c r="C282"/>
      <c r="D282"/>
      <c r="E282" s="7"/>
    </row>
    <row r="283" spans="1:5">
      <c r="A283"/>
      <c r="B283"/>
      <c r="C283"/>
      <c r="D283"/>
      <c r="E283" s="7"/>
    </row>
    <row r="284" spans="1:5">
      <c r="A284"/>
      <c r="B284"/>
      <c r="C284"/>
      <c r="D284"/>
      <c r="E284" s="7"/>
    </row>
    <row r="285" spans="1:5">
      <c r="A285"/>
      <c r="B285"/>
      <c r="C285"/>
      <c r="D285"/>
      <c r="E285" s="7"/>
    </row>
    <row r="286" spans="1:5">
      <c r="A286"/>
      <c r="B286"/>
      <c r="C286"/>
      <c r="D286"/>
      <c r="E286" s="7"/>
    </row>
    <row r="287" spans="1:5">
      <c r="A287"/>
      <c r="B287"/>
      <c r="C287"/>
      <c r="D287"/>
      <c r="E287" s="7"/>
    </row>
    <row r="288" spans="1:5">
      <c r="A288"/>
      <c r="B288"/>
      <c r="C288"/>
      <c r="D288"/>
      <c r="E288" s="7"/>
    </row>
    <row r="289" spans="1:5">
      <c r="A289"/>
      <c r="B289"/>
      <c r="C289"/>
      <c r="D289"/>
      <c r="E289" s="7"/>
    </row>
    <row r="290" spans="1:5">
      <c r="A290"/>
      <c r="B290"/>
      <c r="C290"/>
      <c r="D290"/>
      <c r="E290" s="7"/>
    </row>
    <row r="291" spans="1:5">
      <c r="A291"/>
      <c r="B291"/>
      <c r="C291"/>
      <c r="D291"/>
      <c r="E291" s="7"/>
    </row>
    <row r="292" spans="1:5">
      <c r="A292"/>
      <c r="B292"/>
      <c r="C292"/>
      <c r="D292"/>
      <c r="E292" s="7"/>
    </row>
    <row r="293" spans="1:5">
      <c r="A293"/>
      <c r="B293"/>
      <c r="C293"/>
      <c r="D293"/>
      <c r="E293" s="7"/>
    </row>
    <row r="294" spans="1:5">
      <c r="A294"/>
      <c r="B294"/>
      <c r="C294"/>
      <c r="D294"/>
      <c r="E294" s="7"/>
    </row>
    <row r="295" spans="1:5">
      <c r="A295"/>
      <c r="B295"/>
      <c r="C295"/>
      <c r="D295"/>
      <c r="E295" s="7"/>
    </row>
    <row r="296" spans="1:5">
      <c r="A296"/>
      <c r="B296"/>
      <c r="C296"/>
      <c r="D296"/>
      <c r="E296" s="7"/>
    </row>
    <row r="297" spans="1:5">
      <c r="A297"/>
      <c r="B297"/>
      <c r="C297"/>
      <c r="D297"/>
      <c r="E297" s="7"/>
    </row>
    <row r="298" spans="1:5">
      <c r="A298"/>
      <c r="B298"/>
      <c r="C298"/>
      <c r="D298"/>
      <c r="E298" s="7"/>
    </row>
    <row r="299" spans="1:5">
      <c r="A299"/>
      <c r="B299"/>
      <c r="C299"/>
      <c r="D299"/>
      <c r="E299" s="7"/>
    </row>
    <row r="300" spans="1:5">
      <c r="A300"/>
      <c r="B300"/>
      <c r="C300"/>
      <c r="D300"/>
      <c r="E300" s="7"/>
    </row>
    <row r="301" spans="1:5">
      <c r="A301"/>
      <c r="B301"/>
      <c r="C301"/>
      <c r="D301"/>
      <c r="E301" s="7"/>
    </row>
    <row r="302" spans="1:5">
      <c r="A302"/>
      <c r="B302"/>
      <c r="C302"/>
      <c r="D302"/>
      <c r="E302" s="7"/>
    </row>
    <row r="303" spans="1:5">
      <c r="A303"/>
      <c r="B303"/>
      <c r="C303"/>
      <c r="D303"/>
      <c r="E303" s="7"/>
    </row>
    <row r="304" spans="1:5">
      <c r="A304"/>
      <c r="B304"/>
      <c r="C304"/>
      <c r="D304"/>
      <c r="E304" s="7"/>
    </row>
    <row r="305" spans="1:5">
      <c r="A305"/>
      <c r="B305"/>
      <c r="C305"/>
      <c r="D305"/>
      <c r="E305" s="7"/>
    </row>
    <row r="306" spans="1:5">
      <c r="A306"/>
      <c r="B306"/>
      <c r="C306"/>
      <c r="D306"/>
      <c r="E306" s="7"/>
    </row>
    <row r="307" spans="1:5">
      <c r="A307"/>
      <c r="B307"/>
      <c r="C307"/>
      <c r="D307"/>
      <c r="E307" s="7"/>
    </row>
    <row r="308" spans="1:5">
      <c r="A308"/>
      <c r="B308"/>
      <c r="C308"/>
      <c r="D308"/>
      <c r="E308" s="7"/>
    </row>
    <row r="309" spans="1:5">
      <c r="A309"/>
      <c r="B309"/>
      <c r="C309"/>
      <c r="D309"/>
      <c r="E309" s="7"/>
    </row>
    <row r="310" spans="1:5">
      <c r="A310"/>
      <c r="B310"/>
      <c r="C310"/>
      <c r="D310"/>
      <c r="E310" s="7"/>
    </row>
    <row r="311" spans="1:5">
      <c r="A311"/>
      <c r="B311"/>
      <c r="C311"/>
      <c r="D311"/>
      <c r="E311" s="7"/>
    </row>
    <row r="312" spans="1:5">
      <c r="A312"/>
      <c r="B312"/>
      <c r="C312"/>
      <c r="D312"/>
      <c r="E312" s="7"/>
    </row>
    <row r="313" spans="1:5">
      <c r="A313"/>
      <c r="B313"/>
      <c r="C313"/>
      <c r="D313"/>
      <c r="E313" s="7"/>
    </row>
    <row r="314" spans="1:5">
      <c r="A314"/>
      <c r="B314"/>
      <c r="C314"/>
      <c r="D314"/>
      <c r="E314" s="7"/>
    </row>
    <row r="315" spans="1:5">
      <c r="A315"/>
      <c r="B315"/>
      <c r="C315"/>
      <c r="D315"/>
      <c r="E315" s="7"/>
    </row>
    <row r="316" spans="1:5">
      <c r="A316"/>
      <c r="B316"/>
      <c r="C316"/>
      <c r="D316"/>
      <c r="E316" s="7"/>
    </row>
    <row r="317" spans="1:5">
      <c r="A317"/>
      <c r="B317"/>
      <c r="C317"/>
      <c r="D317"/>
      <c r="E317" s="7"/>
    </row>
    <row r="318" spans="1:5">
      <c r="A318"/>
      <c r="B318"/>
      <c r="C318"/>
      <c r="D318"/>
      <c r="E318" s="7"/>
    </row>
    <row r="319" spans="1:5">
      <c r="A319"/>
      <c r="B319"/>
      <c r="C319"/>
      <c r="D319"/>
      <c r="E319" s="7"/>
    </row>
    <row r="320" spans="1:5">
      <c r="A320"/>
      <c r="B320"/>
      <c r="C320"/>
      <c r="D320"/>
      <c r="E320" s="7"/>
    </row>
    <row r="321" spans="1:5">
      <c r="A321"/>
      <c r="B321"/>
      <c r="C321"/>
      <c r="D321"/>
      <c r="E321" s="7"/>
    </row>
    <row r="322" spans="1:5">
      <c r="A322"/>
      <c r="B322"/>
      <c r="C322"/>
      <c r="D322"/>
      <c r="E322" s="7"/>
    </row>
    <row r="323" spans="1:5">
      <c r="A323"/>
      <c r="B323"/>
      <c r="C323"/>
      <c r="D323"/>
      <c r="E323" s="7"/>
    </row>
    <row r="324" spans="1:5">
      <c r="A324"/>
      <c r="B324"/>
      <c r="C324"/>
      <c r="D324"/>
      <c r="E324" s="7"/>
    </row>
    <row r="325" spans="1:5">
      <c r="A325"/>
      <c r="B325"/>
      <c r="C325"/>
      <c r="D325"/>
      <c r="E325" s="7"/>
    </row>
    <row r="326" spans="1:5">
      <c r="A326"/>
      <c r="B326"/>
      <c r="C326"/>
      <c r="D326"/>
      <c r="E326" s="7"/>
    </row>
    <row r="327" spans="1:5">
      <c r="A327"/>
      <c r="B327"/>
      <c r="C327"/>
      <c r="D327"/>
      <c r="E327" s="7"/>
    </row>
    <row r="328" spans="1:5">
      <c r="A328"/>
      <c r="B328"/>
      <c r="C328"/>
      <c r="D328"/>
      <c r="E328" s="7"/>
    </row>
    <row r="329" spans="1:5">
      <c r="A329"/>
      <c r="B329"/>
      <c r="C329"/>
      <c r="D329"/>
      <c r="E329" s="7"/>
    </row>
    <row r="330" spans="1:5">
      <c r="A330"/>
      <c r="B330"/>
      <c r="C330"/>
      <c r="D330"/>
      <c r="E330" s="7"/>
    </row>
    <row r="331" spans="1:5">
      <c r="A331"/>
      <c r="B331"/>
      <c r="C331"/>
      <c r="D331"/>
      <c r="E331" s="7"/>
    </row>
    <row r="332" spans="1:5">
      <c r="A332"/>
      <c r="B332"/>
      <c r="C332"/>
      <c r="D332"/>
      <c r="E332" s="7"/>
    </row>
    <row r="333" spans="1:5">
      <c r="A333"/>
      <c r="B333"/>
      <c r="C333"/>
      <c r="D333"/>
      <c r="E333" s="7"/>
    </row>
    <row r="334" spans="1:5">
      <c r="A334"/>
      <c r="B334"/>
      <c r="C334"/>
      <c r="D334"/>
      <c r="E334" s="7"/>
    </row>
    <row r="335" spans="1:5">
      <c r="A335"/>
      <c r="B335"/>
      <c r="C335"/>
      <c r="D335"/>
      <c r="E335" s="7"/>
    </row>
    <row r="336" spans="1:5">
      <c r="A336"/>
      <c r="B336"/>
      <c r="C336"/>
      <c r="D336"/>
      <c r="E336" s="7"/>
    </row>
    <row r="337" spans="1:5">
      <c r="A337"/>
      <c r="B337"/>
      <c r="C337"/>
      <c r="D337"/>
      <c r="E337" s="7"/>
    </row>
    <row r="338" spans="1:5">
      <c r="A338"/>
      <c r="B338"/>
      <c r="C338"/>
      <c r="D338"/>
      <c r="E338" s="7"/>
    </row>
    <row r="339" spans="1:5">
      <c r="A339"/>
      <c r="B339"/>
      <c r="C339"/>
      <c r="D339"/>
      <c r="E339" s="7"/>
    </row>
    <row r="340" spans="1:5">
      <c r="A340"/>
      <c r="B340"/>
      <c r="C340"/>
      <c r="D340"/>
      <c r="E340" s="7"/>
    </row>
    <row r="341" spans="1:5">
      <c r="A341"/>
      <c r="B341"/>
      <c r="C341"/>
      <c r="D341"/>
      <c r="E341" s="7"/>
    </row>
    <row r="342" spans="1:5">
      <c r="A342"/>
      <c r="B342"/>
      <c r="C342"/>
      <c r="D342"/>
      <c r="E342" s="7"/>
    </row>
    <row r="343" spans="1:5">
      <c r="A343"/>
      <c r="B343"/>
      <c r="C343"/>
      <c r="D343"/>
      <c r="E343" s="7"/>
    </row>
    <row r="344" spans="1:5">
      <c r="A344"/>
      <c r="B344"/>
      <c r="C344"/>
      <c r="D344"/>
      <c r="E344" s="7"/>
    </row>
    <row r="345" spans="1:5">
      <c r="A345"/>
      <c r="B345"/>
      <c r="C345"/>
      <c r="D345"/>
      <c r="E345" s="7"/>
    </row>
    <row r="346" spans="1:5">
      <c r="A346"/>
      <c r="B346"/>
      <c r="C346"/>
      <c r="D346"/>
      <c r="E346" s="7"/>
    </row>
    <row r="347" spans="1:5">
      <c r="A347"/>
      <c r="B347"/>
      <c r="C347"/>
      <c r="D347"/>
      <c r="E347" s="7"/>
    </row>
    <row r="348" spans="1:5">
      <c r="A348"/>
      <c r="B348"/>
      <c r="C348"/>
      <c r="D348"/>
      <c r="E348" s="7"/>
    </row>
    <row r="349" spans="1:5">
      <c r="A349"/>
      <c r="B349"/>
      <c r="C349"/>
      <c r="D349"/>
      <c r="E349" s="7"/>
    </row>
    <row r="350" spans="1:5">
      <c r="A350"/>
      <c r="B350"/>
      <c r="C350"/>
      <c r="D350"/>
      <c r="E350" s="7"/>
    </row>
    <row r="351" spans="1:5">
      <c r="A351"/>
      <c r="B351"/>
      <c r="C351"/>
      <c r="D351"/>
      <c r="E351" s="7"/>
    </row>
    <row r="352" spans="1:5">
      <c r="A352"/>
      <c r="B352"/>
      <c r="C352"/>
      <c r="D352"/>
      <c r="E352" s="7"/>
    </row>
    <row r="353" spans="1:5">
      <c r="A353"/>
      <c r="B353"/>
      <c r="C353"/>
      <c r="D353"/>
      <c r="E353" s="7"/>
    </row>
    <row r="354" spans="1:5">
      <c r="A354"/>
      <c r="B354"/>
      <c r="C354"/>
      <c r="D354"/>
      <c r="E354" s="7"/>
    </row>
    <row r="355" spans="1:5">
      <c r="A355"/>
      <c r="B355"/>
      <c r="C355"/>
      <c r="D355"/>
      <c r="E355" s="7"/>
    </row>
    <row r="356" spans="1:5">
      <c r="A356"/>
      <c r="B356"/>
      <c r="C356"/>
      <c r="D356"/>
      <c r="E356" s="7"/>
    </row>
    <row r="357" spans="1:5">
      <c r="A357"/>
      <c r="B357"/>
      <c r="C357"/>
      <c r="D357"/>
      <c r="E357" s="7"/>
    </row>
    <row r="358" spans="1:5">
      <c r="A358"/>
      <c r="B358"/>
      <c r="C358"/>
      <c r="D358"/>
      <c r="E358" s="7"/>
    </row>
    <row r="359" spans="1:5">
      <c r="A359"/>
      <c r="B359"/>
      <c r="C359"/>
      <c r="D359"/>
      <c r="E359" s="7"/>
    </row>
    <row r="360" spans="1:5">
      <c r="A360"/>
      <c r="B360"/>
      <c r="C360"/>
      <c r="D360"/>
      <c r="E360" s="7"/>
    </row>
    <row r="361" spans="1:5">
      <c r="A361"/>
      <c r="B361"/>
      <c r="C361"/>
      <c r="D361"/>
      <c r="E361" s="7"/>
    </row>
    <row r="362" spans="1:5">
      <c r="A362"/>
      <c r="B362"/>
      <c r="C362"/>
      <c r="D362"/>
      <c r="E362" s="7"/>
    </row>
    <row r="363" spans="1:5">
      <c r="A363"/>
      <c r="B363"/>
      <c r="C363"/>
      <c r="D363"/>
      <c r="E363" s="7"/>
    </row>
    <row r="364" spans="1:5">
      <c r="A364"/>
      <c r="B364"/>
      <c r="C364"/>
      <c r="D364"/>
      <c r="E364" s="7"/>
    </row>
    <row r="365" spans="1:5">
      <c r="A365"/>
      <c r="B365"/>
      <c r="C365"/>
      <c r="D365"/>
      <c r="E365" s="7"/>
    </row>
    <row r="366" spans="1:5">
      <c r="A366"/>
      <c r="B366"/>
      <c r="C366"/>
      <c r="D366"/>
      <c r="E366" s="7"/>
    </row>
    <row r="367" spans="1:5">
      <c r="A367"/>
      <c r="B367"/>
      <c r="C367"/>
      <c r="D367"/>
      <c r="E367" s="7"/>
    </row>
    <row r="368" spans="1:5">
      <c r="A368"/>
      <c r="B368"/>
      <c r="C368"/>
      <c r="D368" s="26"/>
      <c r="E368" s="7"/>
    </row>
    <row r="369" spans="1:5">
      <c r="A369"/>
      <c r="B369"/>
      <c r="C369"/>
      <c r="D369"/>
      <c r="E369" s="7"/>
    </row>
    <row r="370" spans="1:5">
      <c r="A370"/>
      <c r="B370"/>
      <c r="C370"/>
      <c r="D370"/>
      <c r="E370" s="7"/>
    </row>
    <row r="371" spans="1:5">
      <c r="A371"/>
      <c r="B371"/>
      <c r="C371"/>
      <c r="D371"/>
      <c r="E371" s="7"/>
    </row>
    <row r="372" spans="1:5">
      <c r="A372"/>
      <c r="B372"/>
      <c r="C372"/>
      <c r="D372"/>
      <c r="E372" s="7"/>
    </row>
    <row r="373" spans="1:5">
      <c r="A373"/>
      <c r="B373"/>
      <c r="C373"/>
      <c r="D373"/>
      <c r="E373" s="7"/>
    </row>
    <row r="374" spans="1:5">
      <c r="A374"/>
      <c r="B374"/>
      <c r="C374"/>
      <c r="D374"/>
      <c r="E374" s="7"/>
    </row>
    <row r="375" spans="1:5">
      <c r="A375"/>
      <c r="B375"/>
      <c r="C375"/>
      <c r="D375"/>
      <c r="E375" s="7"/>
    </row>
    <row r="376" spans="1:5">
      <c r="A376"/>
      <c r="B376"/>
      <c r="C376"/>
      <c r="D376"/>
      <c r="E376" s="7"/>
    </row>
    <row r="377" spans="1:5">
      <c r="A377"/>
      <c r="B377"/>
      <c r="C377"/>
      <c r="D377"/>
      <c r="E377" s="7"/>
    </row>
    <row r="378" spans="1:5">
      <c r="A378"/>
      <c r="B378"/>
      <c r="C378"/>
      <c r="D378"/>
      <c r="E378" s="7"/>
    </row>
    <row r="379" spans="1:5">
      <c r="A379"/>
      <c r="B379"/>
      <c r="C379"/>
      <c r="D379"/>
      <c r="E379" s="7"/>
    </row>
    <row r="380" spans="1:5">
      <c r="A380"/>
      <c r="B380"/>
      <c r="C380"/>
      <c r="D380"/>
      <c r="E380" s="7"/>
    </row>
    <row r="381" spans="1:5">
      <c r="A381"/>
      <c r="B381"/>
      <c r="C381"/>
      <c r="D381"/>
      <c r="E381" s="7"/>
    </row>
    <row r="382" spans="1:5">
      <c r="A382"/>
      <c r="B382"/>
      <c r="C382"/>
      <c r="D382"/>
      <c r="E382" s="7"/>
    </row>
    <row r="383" spans="1:5">
      <c r="A383"/>
      <c r="B383"/>
      <c r="C383"/>
      <c r="D383"/>
      <c r="E383" s="7"/>
    </row>
    <row r="384" spans="1:5">
      <c r="A384"/>
      <c r="B384"/>
      <c r="C384"/>
      <c r="D384"/>
      <c r="E384" s="7"/>
    </row>
    <row r="385" spans="1:5">
      <c r="A385"/>
      <c r="B385"/>
      <c r="C385"/>
      <c r="D385"/>
      <c r="E385" s="7"/>
    </row>
    <row r="386" spans="1:5">
      <c r="A386"/>
      <c r="B386"/>
      <c r="C386"/>
      <c r="D386"/>
      <c r="E386" s="7"/>
    </row>
    <row r="387" spans="1:5">
      <c r="A387"/>
      <c r="B387"/>
      <c r="C387"/>
      <c r="D387"/>
      <c r="E387" s="7"/>
    </row>
    <row r="388" spans="1:5">
      <c r="A388"/>
      <c r="B388"/>
      <c r="C388"/>
      <c r="D388"/>
      <c r="E388" s="7"/>
    </row>
    <row r="389" spans="1:5">
      <c r="A389"/>
      <c r="B389"/>
      <c r="C389"/>
      <c r="D389"/>
      <c r="E389" s="7"/>
    </row>
    <row r="390" spans="1:5">
      <c r="A390"/>
      <c r="B390"/>
      <c r="C390"/>
      <c r="D390"/>
      <c r="E390" s="7"/>
    </row>
    <row r="391" spans="1:5">
      <c r="A391"/>
      <c r="B391"/>
      <c r="C391"/>
      <c r="D391"/>
      <c r="E391" s="7"/>
    </row>
    <row r="392" spans="1:5">
      <c r="A392"/>
      <c r="B392"/>
      <c r="C392"/>
      <c r="D392"/>
      <c r="E392" s="7"/>
    </row>
    <row r="393" spans="1:5">
      <c r="A393"/>
      <c r="B393"/>
      <c r="C393"/>
      <c r="D393"/>
      <c r="E393" s="7"/>
    </row>
    <row r="394" spans="1:5">
      <c r="A394"/>
      <c r="B394"/>
      <c r="C394"/>
      <c r="D394"/>
      <c r="E394" s="7"/>
    </row>
    <row r="395" spans="1:5">
      <c r="A395"/>
      <c r="B395"/>
      <c r="C395"/>
      <c r="D395"/>
      <c r="E395" s="7"/>
    </row>
    <row r="396" spans="1:5">
      <c r="A396"/>
      <c r="B396"/>
      <c r="C396"/>
      <c r="D396"/>
      <c r="E396" s="7"/>
    </row>
    <row r="397" spans="1:5">
      <c r="A397"/>
      <c r="B397"/>
      <c r="C397"/>
      <c r="D397"/>
      <c r="E397" s="7"/>
    </row>
    <row r="398" spans="1:5">
      <c r="A398"/>
      <c r="B398"/>
      <c r="C398"/>
      <c r="D398"/>
      <c r="E398" s="7"/>
    </row>
    <row r="399" spans="1:5">
      <c r="A399"/>
      <c r="B399"/>
      <c r="C399"/>
      <c r="D399"/>
      <c r="E399" s="7"/>
    </row>
    <row r="400" spans="1:5">
      <c r="A400"/>
      <c r="B400"/>
      <c r="C400"/>
      <c r="D400"/>
      <c r="E400" s="7"/>
    </row>
    <row r="401" spans="1:5">
      <c r="A401"/>
      <c r="B401"/>
      <c r="C401"/>
      <c r="D401"/>
      <c r="E401" s="7"/>
    </row>
    <row r="402" spans="1:5">
      <c r="A402"/>
      <c r="B402"/>
      <c r="C402"/>
      <c r="D402"/>
      <c r="E402" s="7"/>
    </row>
    <row r="403" spans="1:5">
      <c r="A403"/>
      <c r="B403"/>
      <c r="C403"/>
      <c r="D403"/>
      <c r="E403" s="7"/>
    </row>
    <row r="404" spans="1:5">
      <c r="A404"/>
      <c r="B404"/>
      <c r="C404"/>
      <c r="D404"/>
      <c r="E404" s="7"/>
    </row>
    <row r="405" spans="1:5">
      <c r="A405"/>
      <c r="B405"/>
      <c r="C405"/>
      <c r="D405"/>
      <c r="E405" s="7"/>
    </row>
    <row r="406" spans="1:5">
      <c r="A406"/>
      <c r="B406" s="2"/>
      <c r="C406"/>
      <c r="D406"/>
      <c r="E406" s="7"/>
    </row>
    <row r="407" spans="1:5">
      <c r="A407"/>
      <c r="B407"/>
      <c r="C407"/>
      <c r="D407"/>
      <c r="E407" s="7"/>
    </row>
    <row r="408" spans="1:5">
      <c r="A408"/>
      <c r="B408"/>
      <c r="C408"/>
      <c r="D408"/>
      <c r="E408" s="7"/>
    </row>
    <row r="409" spans="1:5">
      <c r="A409"/>
      <c r="B409"/>
      <c r="C409"/>
      <c r="D409"/>
      <c r="E409" s="7"/>
    </row>
    <row r="410" spans="1:5">
      <c r="A410"/>
      <c r="B410"/>
      <c r="C410"/>
      <c r="D410"/>
      <c r="E410" s="7"/>
    </row>
    <row r="411" spans="1:5">
      <c r="A411"/>
      <c r="B411"/>
      <c r="C411"/>
      <c r="D411"/>
      <c r="E411" s="7"/>
    </row>
    <row r="412" spans="1:5">
      <c r="A412"/>
      <c r="B412"/>
      <c r="C412"/>
      <c r="D412"/>
      <c r="E412" s="7"/>
    </row>
    <row r="413" spans="1:5">
      <c r="A413"/>
      <c r="B413"/>
      <c r="C413"/>
      <c r="D413"/>
      <c r="E413" s="7"/>
    </row>
    <row r="414" spans="1:5">
      <c r="A414"/>
      <c r="B414"/>
      <c r="C414"/>
      <c r="D414"/>
      <c r="E414" s="7"/>
    </row>
    <row r="415" spans="1:5">
      <c r="A415"/>
      <c r="B415"/>
      <c r="C415"/>
      <c r="D415"/>
      <c r="E415" s="7"/>
    </row>
    <row r="416" spans="1:5">
      <c r="A416"/>
      <c r="B416"/>
      <c r="C416"/>
      <c r="D416"/>
      <c r="E416" s="7"/>
    </row>
    <row r="417" spans="1:5">
      <c r="A417"/>
      <c r="B417"/>
      <c r="C417"/>
      <c r="D417"/>
      <c r="E417" s="7"/>
    </row>
    <row r="418" spans="1:5">
      <c r="A418"/>
      <c r="B418"/>
      <c r="C418"/>
      <c r="D418"/>
      <c r="E418" s="7"/>
    </row>
    <row r="419" spans="1:5">
      <c r="A419"/>
      <c r="B419"/>
      <c r="C419"/>
      <c r="D419"/>
      <c r="E419" s="7"/>
    </row>
    <row r="420" spans="1:5">
      <c r="A420"/>
      <c r="B420"/>
      <c r="C420"/>
      <c r="D420"/>
      <c r="E420" s="7"/>
    </row>
    <row r="421" spans="1:5">
      <c r="A421"/>
      <c r="B421"/>
      <c r="C421"/>
      <c r="D421"/>
      <c r="E421" s="7"/>
    </row>
    <row r="422" spans="1:5">
      <c r="A422"/>
      <c r="B422"/>
      <c r="C422"/>
      <c r="D422"/>
      <c r="E422" s="7"/>
    </row>
    <row r="423" spans="1:5">
      <c r="A423"/>
      <c r="B423"/>
      <c r="C423"/>
      <c r="D423"/>
      <c r="E423" s="7"/>
    </row>
    <row r="424" spans="1:5">
      <c r="A424"/>
      <c r="B424"/>
      <c r="C424"/>
      <c r="D424"/>
      <c r="E424" s="7"/>
    </row>
    <row r="425" spans="1:5">
      <c r="A425"/>
      <c r="B425"/>
      <c r="C425"/>
      <c r="D425"/>
      <c r="E425" s="7"/>
    </row>
    <row r="426" spans="1:5">
      <c r="A426"/>
      <c r="B426"/>
      <c r="C426"/>
      <c r="D426"/>
      <c r="E426" s="7"/>
    </row>
    <row r="427" spans="1:5">
      <c r="A427"/>
      <c r="B427"/>
      <c r="C427"/>
      <c r="D427"/>
      <c r="E427" s="7"/>
    </row>
    <row r="428" spans="1:5">
      <c r="A428"/>
      <c r="B428"/>
      <c r="C428"/>
      <c r="D428"/>
      <c r="E428" s="7"/>
    </row>
    <row r="429" spans="1:5">
      <c r="A429"/>
      <c r="B429"/>
      <c r="C429"/>
      <c r="D429"/>
      <c r="E429" s="7"/>
    </row>
    <row r="430" spans="1:5">
      <c r="A430"/>
      <c r="B430"/>
      <c r="C430"/>
      <c r="D430"/>
      <c r="E430" s="7"/>
    </row>
    <row r="431" spans="1:5">
      <c r="A431"/>
      <c r="B431"/>
      <c r="C431"/>
      <c r="D431"/>
      <c r="E431" s="7"/>
    </row>
    <row r="432" spans="1:5">
      <c r="A432"/>
      <c r="B432"/>
      <c r="C432"/>
      <c r="D432"/>
      <c r="E432" s="7"/>
    </row>
    <row r="433" spans="1:5">
      <c r="A433"/>
      <c r="B433"/>
      <c r="C433"/>
      <c r="D433"/>
      <c r="E433" s="7"/>
    </row>
    <row r="434" spans="1:5">
      <c r="A434"/>
      <c r="B434"/>
      <c r="C434"/>
      <c r="D434"/>
      <c r="E434" s="7"/>
    </row>
    <row r="435" spans="1:5">
      <c r="A435"/>
      <c r="B435"/>
      <c r="C435"/>
      <c r="D435"/>
      <c r="E435" s="7"/>
    </row>
    <row r="436" spans="1:5">
      <c r="A436"/>
      <c r="B436"/>
      <c r="C436"/>
      <c r="D436"/>
      <c r="E436" s="7"/>
    </row>
    <row r="437" spans="1:5">
      <c r="A437"/>
      <c r="B437"/>
      <c r="C437"/>
      <c r="D437"/>
      <c r="E437" s="7"/>
    </row>
    <row r="438" spans="1:5">
      <c r="A438"/>
      <c r="B438"/>
      <c r="C438"/>
      <c r="D438"/>
      <c r="E438" s="7"/>
    </row>
    <row r="439" spans="1:5">
      <c r="A439"/>
      <c r="B439"/>
      <c r="C439"/>
      <c r="D439"/>
      <c r="E439" s="7"/>
    </row>
    <row r="440" spans="1:5">
      <c r="A440"/>
      <c r="B440"/>
      <c r="C440"/>
      <c r="D440"/>
      <c r="E440" s="7"/>
    </row>
    <row r="441" spans="1:5">
      <c r="A441"/>
      <c r="B441"/>
      <c r="C441"/>
      <c r="D441"/>
      <c r="E441" s="7"/>
    </row>
    <row r="442" spans="1:5">
      <c r="A442"/>
      <c r="B442"/>
      <c r="C442"/>
      <c r="D442"/>
      <c r="E442" s="7"/>
    </row>
    <row r="443" spans="1:5">
      <c r="A443"/>
      <c r="B443"/>
      <c r="C443"/>
      <c r="D443"/>
      <c r="E443" s="7"/>
    </row>
    <row r="444" spans="1:5">
      <c r="A444"/>
      <c r="B444"/>
      <c r="C444"/>
      <c r="D444"/>
      <c r="E444" s="7"/>
    </row>
    <row r="445" spans="1:5">
      <c r="A445"/>
      <c r="B445"/>
      <c r="C445"/>
      <c r="D445"/>
      <c r="E445" s="7"/>
    </row>
    <row r="446" spans="1:5">
      <c r="A446"/>
      <c r="B446"/>
      <c r="C446"/>
      <c r="D446"/>
      <c r="E446" s="7"/>
    </row>
    <row r="447" spans="1:5">
      <c r="A447"/>
      <c r="B447"/>
      <c r="C447"/>
      <c r="D447"/>
      <c r="E447" s="7"/>
    </row>
    <row r="448" spans="1:5">
      <c r="A448"/>
      <c r="B448"/>
      <c r="C448"/>
      <c r="D448"/>
      <c r="E448" s="7"/>
    </row>
    <row r="449" spans="1:5">
      <c r="A449"/>
      <c r="B449"/>
      <c r="C449"/>
      <c r="D449"/>
      <c r="E449" s="7"/>
    </row>
    <row r="450" spans="1:5">
      <c r="A450"/>
      <c r="B450"/>
      <c r="C450"/>
      <c r="D450"/>
      <c r="E450" s="7"/>
    </row>
    <row r="451" spans="1:5">
      <c r="A451"/>
      <c r="B451"/>
      <c r="C451"/>
      <c r="D451"/>
      <c r="E451" s="7"/>
    </row>
    <row r="452" spans="1:5">
      <c r="A452"/>
      <c r="B452"/>
      <c r="C452"/>
      <c r="D452"/>
      <c r="E452" s="7"/>
    </row>
    <row r="453" spans="1:5">
      <c r="A453"/>
      <c r="B453"/>
      <c r="C453"/>
      <c r="D453"/>
      <c r="E453" s="7"/>
    </row>
    <row r="454" spans="1:5">
      <c r="A454"/>
      <c r="B454"/>
      <c r="C454"/>
      <c r="D454"/>
      <c r="E454" s="7"/>
    </row>
    <row r="455" spans="1:5">
      <c r="A455"/>
      <c r="B455"/>
      <c r="C455"/>
      <c r="D455"/>
      <c r="E455" s="7"/>
    </row>
    <row r="456" spans="1:5">
      <c r="A456"/>
      <c r="B456"/>
      <c r="C456"/>
      <c r="D456"/>
      <c r="E456" s="7"/>
    </row>
    <row r="457" spans="1:5">
      <c r="A457"/>
      <c r="B457"/>
      <c r="C457"/>
      <c r="D457"/>
      <c r="E457" s="7"/>
    </row>
    <row r="458" spans="1:5">
      <c r="A458"/>
      <c r="B458"/>
      <c r="C458"/>
      <c r="D458"/>
      <c r="E458" s="7"/>
    </row>
    <row r="459" spans="1:5">
      <c r="A459"/>
      <c r="B459"/>
      <c r="C459"/>
      <c r="D459"/>
      <c r="E459" s="7"/>
    </row>
    <row r="460" spans="1:5">
      <c r="A460"/>
      <c r="B460"/>
      <c r="C460"/>
      <c r="D460"/>
      <c r="E460" s="7"/>
    </row>
    <row r="461" spans="1:5">
      <c r="A461"/>
      <c r="B461"/>
      <c r="C461"/>
      <c r="D461"/>
      <c r="E461" s="7"/>
    </row>
    <row r="462" spans="1:5">
      <c r="A462"/>
      <c r="B462"/>
      <c r="C462"/>
      <c r="D462"/>
      <c r="E462" s="7"/>
    </row>
    <row r="463" spans="1:5">
      <c r="A463"/>
      <c r="B463"/>
      <c r="C463"/>
      <c r="D463"/>
      <c r="E463" s="7"/>
    </row>
    <row r="464" spans="1:5">
      <c r="A464"/>
      <c r="B464"/>
      <c r="C464"/>
      <c r="D464"/>
      <c r="E464" s="7"/>
    </row>
    <row r="465" spans="1:5">
      <c r="A465"/>
      <c r="B465"/>
      <c r="C465"/>
      <c r="D465"/>
      <c r="E465" s="7"/>
    </row>
    <row r="466" spans="1:5">
      <c r="A466"/>
      <c r="B466"/>
      <c r="C466"/>
      <c r="D466"/>
      <c r="E466" s="7"/>
    </row>
    <row r="467" spans="1:5">
      <c r="A467"/>
      <c r="B467"/>
      <c r="C467"/>
      <c r="D467"/>
      <c r="E467" s="7"/>
    </row>
    <row r="468" spans="1:5">
      <c r="A468"/>
      <c r="B468"/>
      <c r="C468"/>
      <c r="D468"/>
      <c r="E468" s="7"/>
    </row>
    <row r="469" spans="1:5">
      <c r="A469"/>
      <c r="B469"/>
      <c r="C469"/>
      <c r="D469"/>
      <c r="E469" s="7"/>
    </row>
    <row r="470" spans="1:5">
      <c r="A470"/>
      <c r="B470"/>
      <c r="C470"/>
      <c r="D470"/>
      <c r="E470" s="7"/>
    </row>
    <row r="471" spans="1:5">
      <c r="A471"/>
      <c r="B471"/>
      <c r="C471"/>
      <c r="D471"/>
      <c r="E471" s="7"/>
    </row>
    <row r="472" spans="1:5">
      <c r="A472"/>
      <c r="B472"/>
      <c r="C472"/>
      <c r="D472"/>
      <c r="E472" s="7"/>
    </row>
    <row r="473" spans="1:5">
      <c r="A473"/>
      <c r="B473"/>
      <c r="C473"/>
      <c r="D473"/>
      <c r="E473" s="7"/>
    </row>
    <row r="474" spans="1:5">
      <c r="A474"/>
      <c r="B474"/>
      <c r="C474"/>
      <c r="D474" s="26"/>
      <c r="E474" s="7"/>
    </row>
    <row r="475" spans="1:5">
      <c r="A475"/>
      <c r="B475"/>
      <c r="C475"/>
      <c r="D475"/>
      <c r="E475" s="7"/>
    </row>
    <row r="476" spans="1:5">
      <c r="A476"/>
      <c r="B476"/>
      <c r="C476"/>
      <c r="D476"/>
      <c r="E476" s="7"/>
    </row>
    <row r="477" spans="1:5">
      <c r="A477"/>
      <c r="B477"/>
      <c r="C477"/>
      <c r="D477"/>
      <c r="E477" s="7"/>
    </row>
    <row r="478" spans="1:5">
      <c r="A478"/>
      <c r="B478"/>
      <c r="C478"/>
      <c r="D478"/>
      <c r="E478" s="7"/>
    </row>
    <row r="479" spans="1:5">
      <c r="A479"/>
      <c r="B479"/>
      <c r="C479"/>
      <c r="D479"/>
      <c r="E479" s="7"/>
    </row>
    <row r="480" spans="1:5">
      <c r="A480"/>
      <c r="B480"/>
      <c r="C480"/>
      <c r="D480"/>
      <c r="E480" s="7"/>
    </row>
    <row r="481" spans="1:5">
      <c r="A481"/>
      <c r="B481"/>
      <c r="C481"/>
      <c r="D481"/>
      <c r="E481" s="7"/>
    </row>
    <row r="482" spans="1:5">
      <c r="A482"/>
      <c r="B482"/>
      <c r="C482"/>
      <c r="D482"/>
      <c r="E482" s="7"/>
    </row>
    <row r="483" spans="1:5">
      <c r="A483"/>
      <c r="B483"/>
      <c r="C483"/>
      <c r="D483"/>
      <c r="E483" s="7"/>
    </row>
    <row r="484" spans="1:5">
      <c r="A484"/>
      <c r="B484"/>
      <c r="C484"/>
      <c r="D484"/>
      <c r="E484" s="7"/>
    </row>
    <row r="485" spans="1:5">
      <c r="A485"/>
      <c r="B485"/>
      <c r="C485"/>
      <c r="D485"/>
      <c r="E485" s="7"/>
    </row>
    <row r="486" spans="1:5">
      <c r="A486"/>
      <c r="B486"/>
      <c r="C486"/>
      <c r="D486"/>
      <c r="E486" s="7"/>
    </row>
    <row r="487" spans="1:5">
      <c r="A487"/>
      <c r="B487"/>
      <c r="C487"/>
      <c r="D487"/>
      <c r="E487" s="7"/>
    </row>
    <row r="488" spans="1:5">
      <c r="A488"/>
      <c r="B488"/>
      <c r="C488"/>
      <c r="D488"/>
      <c r="E488" s="7"/>
    </row>
    <row r="489" spans="1:5">
      <c r="A489"/>
      <c r="B489"/>
      <c r="C489"/>
      <c r="D489"/>
      <c r="E489" s="7"/>
    </row>
    <row r="490" spans="1:5">
      <c r="A490"/>
      <c r="B490"/>
      <c r="C490"/>
      <c r="D490"/>
      <c r="E490" s="7"/>
    </row>
    <row r="491" spans="1:5">
      <c r="A491"/>
      <c r="B491"/>
      <c r="C491"/>
      <c r="D491"/>
      <c r="E491" s="7"/>
    </row>
    <row r="492" spans="1:5">
      <c r="A492"/>
      <c r="B492"/>
      <c r="C492"/>
      <c r="D492"/>
      <c r="E492" s="7"/>
    </row>
    <row r="493" spans="1:5">
      <c r="A493"/>
      <c r="B493"/>
      <c r="C493"/>
      <c r="D493"/>
      <c r="E493" s="7"/>
    </row>
    <row r="494" spans="1:5">
      <c r="A494"/>
      <c r="B494"/>
      <c r="C494"/>
      <c r="D494"/>
      <c r="E494" s="7"/>
    </row>
    <row r="495" spans="1:5">
      <c r="A495"/>
      <c r="B495"/>
      <c r="C495"/>
      <c r="D495"/>
      <c r="E495" s="7"/>
    </row>
    <row r="496" spans="1:5">
      <c r="A496"/>
      <c r="B496"/>
      <c r="C496"/>
      <c r="D496"/>
      <c r="E496" s="7"/>
    </row>
    <row r="497" spans="1:5">
      <c r="A497"/>
      <c r="B497"/>
      <c r="C497"/>
      <c r="D497"/>
      <c r="E497" s="7"/>
    </row>
    <row r="498" spans="1:5">
      <c r="A498"/>
      <c r="B498"/>
      <c r="C498"/>
      <c r="D498"/>
      <c r="E498" s="7"/>
    </row>
    <row r="499" spans="1:5">
      <c r="A499"/>
      <c r="B499"/>
      <c r="C499"/>
      <c r="D499"/>
      <c r="E499" s="7"/>
    </row>
    <row r="500" spans="1:5">
      <c r="A500"/>
      <c r="B500"/>
      <c r="C500"/>
      <c r="D500"/>
      <c r="E500" s="7"/>
    </row>
    <row r="501" spans="1:5">
      <c r="A501"/>
      <c r="B501"/>
      <c r="C501"/>
      <c r="D501"/>
      <c r="E501" s="7"/>
    </row>
    <row r="502" spans="1:5">
      <c r="A502"/>
      <c r="B502"/>
      <c r="C502"/>
      <c r="D502"/>
      <c r="E502" s="7"/>
    </row>
    <row r="503" spans="1:5">
      <c r="A503"/>
      <c r="B503"/>
      <c r="C503"/>
      <c r="D503" s="26"/>
      <c r="E503" s="7"/>
    </row>
    <row r="504" spans="1:5">
      <c r="A504"/>
      <c r="B504"/>
      <c r="C504"/>
      <c r="D504"/>
      <c r="E504" s="7"/>
    </row>
    <row r="505" spans="1:5">
      <c r="A505"/>
      <c r="B505"/>
      <c r="C505"/>
      <c r="D505"/>
      <c r="E505" s="7"/>
    </row>
    <row r="506" spans="1:5">
      <c r="A506"/>
      <c r="B506"/>
      <c r="C506"/>
      <c r="D506"/>
      <c r="E506" s="7"/>
    </row>
    <row r="507" spans="1:5">
      <c r="A507"/>
      <c r="B507"/>
      <c r="C507"/>
      <c r="D507"/>
      <c r="E507" s="7"/>
    </row>
    <row r="508" spans="1:5">
      <c r="A508"/>
      <c r="B508"/>
      <c r="C508"/>
      <c r="D508"/>
      <c r="E508" s="7"/>
    </row>
    <row r="509" spans="1:5">
      <c r="A509"/>
      <c r="B509"/>
      <c r="C509"/>
      <c r="D509"/>
      <c r="E509" s="7"/>
    </row>
    <row r="510" spans="1:5">
      <c r="A510"/>
      <c r="B510"/>
      <c r="C510"/>
      <c r="D510"/>
      <c r="E510" s="7"/>
    </row>
    <row r="511" spans="1:5">
      <c r="A511"/>
      <c r="B511"/>
      <c r="C511"/>
      <c r="D511"/>
      <c r="E511" s="7"/>
    </row>
    <row r="512" spans="1:5">
      <c r="A512"/>
      <c r="B512"/>
      <c r="C512"/>
      <c r="D512"/>
      <c r="E512" s="7"/>
    </row>
    <row r="513" spans="1:5">
      <c r="A513"/>
      <c r="B513"/>
      <c r="C513"/>
      <c r="D513"/>
      <c r="E513" s="7"/>
    </row>
    <row r="514" spans="1:5">
      <c r="A514"/>
      <c r="B514"/>
      <c r="C514"/>
      <c r="D514"/>
      <c r="E514" s="7"/>
    </row>
    <row r="515" spans="1:5">
      <c r="A515"/>
      <c r="B515"/>
      <c r="C515"/>
      <c r="D515"/>
      <c r="E515" s="7"/>
    </row>
    <row r="516" spans="1:5">
      <c r="A516"/>
      <c r="B516"/>
      <c r="C516"/>
      <c r="D516"/>
      <c r="E516" s="7"/>
    </row>
    <row r="517" spans="1:5">
      <c r="A517"/>
      <c r="B517"/>
      <c r="C517"/>
      <c r="D517"/>
      <c r="E517" s="7"/>
    </row>
    <row r="518" spans="1:5">
      <c r="A518"/>
      <c r="B518"/>
      <c r="C518"/>
      <c r="D518"/>
      <c r="E518" s="7"/>
    </row>
    <row r="519" spans="1:5">
      <c r="A519"/>
      <c r="B519"/>
      <c r="C519"/>
      <c r="D519"/>
      <c r="E519" s="7"/>
    </row>
    <row r="520" spans="1:5">
      <c r="A520"/>
      <c r="B520"/>
      <c r="C520"/>
      <c r="D520"/>
      <c r="E520" s="7"/>
    </row>
    <row r="521" spans="1:5">
      <c r="A521"/>
      <c r="B521"/>
      <c r="C521"/>
      <c r="D521"/>
      <c r="E521" s="7"/>
    </row>
    <row r="522" spans="1:5">
      <c r="A522"/>
      <c r="B522"/>
      <c r="C522"/>
      <c r="D522"/>
      <c r="E522" s="7"/>
    </row>
    <row r="523" spans="1:5">
      <c r="A523"/>
      <c r="B523"/>
      <c r="C523"/>
      <c r="D523"/>
      <c r="E523" s="7"/>
    </row>
    <row r="524" spans="1:5">
      <c r="A524"/>
      <c r="B524"/>
      <c r="C524"/>
      <c r="D524"/>
      <c r="E524" s="7"/>
    </row>
    <row r="525" spans="1:5">
      <c r="A525"/>
      <c r="B525"/>
      <c r="C525"/>
      <c r="D525"/>
      <c r="E525" s="7"/>
    </row>
    <row r="526" spans="1:5">
      <c r="A526"/>
      <c r="B526"/>
      <c r="C526"/>
      <c r="D526"/>
      <c r="E526" s="7"/>
    </row>
    <row r="527" spans="1:5">
      <c r="A527"/>
      <c r="B527"/>
      <c r="C527"/>
      <c r="D527"/>
      <c r="E527" s="7"/>
    </row>
    <row r="528" spans="1:5">
      <c r="A528"/>
      <c r="B528"/>
      <c r="C528"/>
      <c r="D528"/>
      <c r="E528" s="7"/>
    </row>
    <row r="529" spans="1:5">
      <c r="A529"/>
      <c r="B529"/>
      <c r="C529"/>
      <c r="D529"/>
      <c r="E529" s="7"/>
    </row>
    <row r="530" spans="1:5">
      <c r="A530"/>
      <c r="B530"/>
      <c r="C530"/>
      <c r="D530"/>
      <c r="E530" s="7"/>
    </row>
    <row r="531" spans="1:5">
      <c r="A531"/>
      <c r="B531"/>
      <c r="C531"/>
      <c r="D531"/>
      <c r="E531" s="7"/>
    </row>
    <row r="532" spans="1:5">
      <c r="A532"/>
      <c r="B532"/>
      <c r="C532"/>
      <c r="D532"/>
      <c r="E532" s="7"/>
    </row>
    <row r="533" spans="1:5">
      <c r="A533"/>
      <c r="B533"/>
      <c r="C533"/>
      <c r="D533"/>
      <c r="E533" s="7"/>
    </row>
    <row r="534" spans="1:5">
      <c r="A534"/>
      <c r="B534"/>
      <c r="C534"/>
      <c r="D534"/>
      <c r="E534" s="7"/>
    </row>
    <row r="535" spans="1:5">
      <c r="A535"/>
      <c r="B535"/>
      <c r="C535"/>
      <c r="D535" s="26"/>
      <c r="E535" s="7"/>
    </row>
    <row r="536" spans="1:5">
      <c r="A536"/>
      <c r="B536"/>
      <c r="C536"/>
      <c r="D536"/>
      <c r="E536" s="7"/>
    </row>
    <row r="537" spans="1:5">
      <c r="A537"/>
      <c r="B537"/>
      <c r="C537"/>
      <c r="D537"/>
      <c r="E537" s="7"/>
    </row>
    <row r="538" spans="1:5">
      <c r="A538"/>
      <c r="B538"/>
      <c r="C538"/>
      <c r="D538"/>
      <c r="E538" s="7"/>
    </row>
    <row r="539" spans="1:5">
      <c r="A539"/>
      <c r="B539"/>
      <c r="C539"/>
      <c r="D539"/>
      <c r="E539" s="7"/>
    </row>
    <row r="540" spans="1:5">
      <c r="A540"/>
      <c r="B540"/>
      <c r="C540"/>
      <c r="D540"/>
      <c r="E540" s="7"/>
    </row>
    <row r="541" spans="1:5">
      <c r="A541"/>
      <c r="B541"/>
      <c r="C541"/>
      <c r="D541"/>
      <c r="E541" s="7"/>
    </row>
    <row r="542" spans="1:5">
      <c r="A542"/>
      <c r="B542"/>
      <c r="C542"/>
      <c r="D542"/>
      <c r="E542" s="7"/>
    </row>
    <row r="543" spans="1:5">
      <c r="A543"/>
      <c r="B543"/>
      <c r="C543"/>
      <c r="D543"/>
      <c r="E543" s="7"/>
    </row>
    <row r="544" spans="1:5">
      <c r="A544"/>
      <c r="B544"/>
      <c r="C544"/>
      <c r="D544"/>
      <c r="E544" s="7"/>
    </row>
    <row r="545" spans="1:5">
      <c r="A545"/>
      <c r="B545"/>
      <c r="C545"/>
      <c r="D545"/>
      <c r="E545" s="7"/>
    </row>
    <row r="546" spans="1:5">
      <c r="A546"/>
      <c r="B546"/>
      <c r="C546"/>
      <c r="D546"/>
      <c r="E546" s="7"/>
    </row>
    <row r="547" spans="1:5">
      <c r="A547"/>
      <c r="B547"/>
      <c r="C547"/>
      <c r="D547"/>
      <c r="E547" s="7"/>
    </row>
    <row r="548" spans="1:5">
      <c r="A548"/>
      <c r="B548"/>
      <c r="C548"/>
      <c r="D548"/>
      <c r="E548" s="7"/>
    </row>
    <row r="549" spans="1:5">
      <c r="A549"/>
      <c r="B549"/>
      <c r="C549"/>
      <c r="D549"/>
      <c r="E549" s="7"/>
    </row>
    <row r="550" spans="1:5">
      <c r="A550"/>
      <c r="B550"/>
      <c r="C550"/>
      <c r="D550"/>
      <c r="E550" s="7"/>
    </row>
    <row r="551" spans="1:5">
      <c r="A551"/>
      <c r="B551"/>
      <c r="C551"/>
      <c r="D551"/>
      <c r="E551" s="7"/>
    </row>
    <row r="552" spans="1:5">
      <c r="A552"/>
      <c r="B552"/>
      <c r="C552"/>
      <c r="D552"/>
      <c r="E552" s="7"/>
    </row>
    <row r="553" spans="1:5">
      <c r="A553"/>
      <c r="B553"/>
      <c r="C553"/>
      <c r="D553"/>
      <c r="E553" s="7"/>
    </row>
    <row r="554" spans="1:5">
      <c r="A554"/>
      <c r="B554"/>
      <c r="C554"/>
      <c r="D554"/>
      <c r="E554" s="7"/>
    </row>
    <row r="555" spans="1:5">
      <c r="A555"/>
      <c r="B555"/>
      <c r="C555"/>
      <c r="D555"/>
      <c r="E555" s="7"/>
    </row>
    <row r="556" spans="1:5">
      <c r="A556"/>
      <c r="B556"/>
      <c r="C556"/>
      <c r="D556"/>
      <c r="E556" s="7"/>
    </row>
    <row r="557" spans="1:5">
      <c r="A557"/>
      <c r="B557"/>
      <c r="C557"/>
      <c r="D557"/>
      <c r="E557" s="7"/>
    </row>
    <row r="558" spans="1:5">
      <c r="A558"/>
      <c r="B558"/>
      <c r="C558"/>
      <c r="D558"/>
      <c r="E558" s="7"/>
    </row>
    <row r="559" spans="1:5">
      <c r="A559"/>
      <c r="B559"/>
      <c r="C559"/>
      <c r="D559"/>
      <c r="E559" s="7"/>
    </row>
    <row r="560" spans="1:5">
      <c r="A560"/>
      <c r="B560"/>
      <c r="C560"/>
      <c r="D560"/>
      <c r="E560" s="7"/>
    </row>
    <row r="561" spans="1:5">
      <c r="A561"/>
      <c r="B561"/>
      <c r="C561"/>
      <c r="D561"/>
      <c r="E561" s="7"/>
    </row>
    <row r="562" spans="1:5">
      <c r="A562"/>
      <c r="B562"/>
      <c r="C562"/>
      <c r="D562"/>
      <c r="E562" s="7"/>
    </row>
    <row r="563" spans="1:5">
      <c r="A563"/>
      <c r="B563"/>
      <c r="C563"/>
      <c r="D563"/>
      <c r="E563" s="7"/>
    </row>
    <row r="564" spans="1:5">
      <c r="A564"/>
      <c r="B564"/>
      <c r="C564"/>
      <c r="D564"/>
      <c r="E564" s="7"/>
    </row>
    <row r="565" spans="1:5">
      <c r="A565"/>
      <c r="B565"/>
      <c r="C565"/>
      <c r="D565"/>
      <c r="E565" s="7"/>
    </row>
    <row r="566" spans="1:5">
      <c r="A566"/>
      <c r="B566"/>
      <c r="C566"/>
      <c r="D566"/>
      <c r="E566" s="7"/>
    </row>
    <row r="567" spans="1:5">
      <c r="A567"/>
      <c r="B567"/>
      <c r="C567"/>
      <c r="D567"/>
      <c r="E567" s="7"/>
    </row>
    <row r="568" spans="1:5">
      <c r="A568"/>
      <c r="B568"/>
      <c r="C568"/>
      <c r="D568"/>
      <c r="E568" s="7"/>
    </row>
    <row r="569" spans="1:5">
      <c r="A569"/>
      <c r="B569"/>
      <c r="C569"/>
      <c r="D569"/>
      <c r="E569" s="7"/>
    </row>
    <row r="570" spans="1:5">
      <c r="A570"/>
      <c r="B570"/>
      <c r="C570"/>
      <c r="D570"/>
      <c r="E570" s="7"/>
    </row>
    <row r="571" spans="1:5">
      <c r="A571"/>
      <c r="B571"/>
      <c r="C571"/>
      <c r="D571"/>
      <c r="E571" s="7"/>
    </row>
    <row r="572" spans="1:5">
      <c r="A572"/>
      <c r="B572"/>
      <c r="C572"/>
      <c r="D572"/>
      <c r="E572" s="7"/>
    </row>
    <row r="573" spans="1:5">
      <c r="A573"/>
      <c r="B573"/>
      <c r="C573"/>
      <c r="D573"/>
      <c r="E573" s="7"/>
    </row>
    <row r="574" spans="1:5">
      <c r="A574"/>
      <c r="B574"/>
      <c r="C574"/>
      <c r="D574"/>
      <c r="E574" s="7"/>
    </row>
    <row r="575" spans="1:5">
      <c r="A575"/>
      <c r="B575"/>
      <c r="C575"/>
      <c r="D575"/>
      <c r="E575" s="7"/>
    </row>
    <row r="576" spans="1:5">
      <c r="A576"/>
      <c r="B576"/>
      <c r="C576"/>
      <c r="D576"/>
      <c r="E576" s="7"/>
    </row>
    <row r="577" spans="1:5">
      <c r="A577"/>
      <c r="B577"/>
      <c r="C577"/>
      <c r="D577"/>
      <c r="E577" s="7"/>
    </row>
    <row r="578" spans="1:5">
      <c r="A578"/>
      <c r="B578"/>
      <c r="C578"/>
      <c r="D578"/>
      <c r="E578" s="7"/>
    </row>
    <row r="579" spans="1:5">
      <c r="A579"/>
      <c r="B579"/>
      <c r="C579"/>
      <c r="D579"/>
      <c r="E579" s="7"/>
    </row>
    <row r="580" spans="1:5">
      <c r="A580"/>
      <c r="B580"/>
      <c r="C580"/>
      <c r="D580"/>
      <c r="E580" s="7"/>
    </row>
    <row r="581" spans="1:5">
      <c r="A581"/>
      <c r="B581"/>
      <c r="C581"/>
      <c r="D581"/>
      <c r="E581" s="7"/>
    </row>
    <row r="582" spans="1:5">
      <c r="A582"/>
      <c r="B582"/>
      <c r="C582"/>
      <c r="D582"/>
      <c r="E582" s="7"/>
    </row>
    <row r="583" spans="1:5">
      <c r="A583"/>
      <c r="B583"/>
      <c r="C583"/>
      <c r="D583"/>
      <c r="E583" s="7"/>
    </row>
    <row r="584" spans="1:5">
      <c r="A584"/>
      <c r="B584"/>
      <c r="C584"/>
      <c r="D584"/>
      <c r="E584" s="7"/>
    </row>
    <row r="585" spans="1:5">
      <c r="A585"/>
      <c r="B585"/>
      <c r="C585"/>
      <c r="D585"/>
      <c r="E585" s="7"/>
    </row>
    <row r="586" spans="1:5">
      <c r="A586"/>
      <c r="B586"/>
      <c r="C586"/>
      <c r="D586"/>
      <c r="E586" s="7"/>
    </row>
    <row r="587" spans="1:5">
      <c r="A587"/>
      <c r="B587"/>
      <c r="C587"/>
      <c r="D587"/>
      <c r="E587" s="7"/>
    </row>
    <row r="588" spans="1:5">
      <c r="A588"/>
      <c r="B588"/>
      <c r="C588"/>
      <c r="D588"/>
      <c r="E588" s="7"/>
    </row>
    <row r="589" spans="1:5">
      <c r="A589"/>
      <c r="B589"/>
      <c r="C589"/>
      <c r="D589"/>
      <c r="E589" s="7"/>
    </row>
    <row r="590" spans="1:5">
      <c r="A590"/>
      <c r="B590"/>
      <c r="C590"/>
      <c r="D590"/>
      <c r="E590" s="7"/>
    </row>
    <row r="591" spans="1:5">
      <c r="A591"/>
      <c r="B591"/>
      <c r="C591"/>
      <c r="D591"/>
      <c r="E591" s="7"/>
    </row>
    <row r="592" spans="1:5">
      <c r="A592"/>
      <c r="B592"/>
      <c r="C592"/>
      <c r="D592" s="26"/>
      <c r="E592" s="7"/>
    </row>
    <row r="593" spans="1:5">
      <c r="A593"/>
      <c r="B593"/>
      <c r="C593"/>
      <c r="D593"/>
      <c r="E593" s="7"/>
    </row>
    <row r="594" spans="1:5">
      <c r="A594"/>
      <c r="B594"/>
      <c r="C594"/>
      <c r="D594"/>
      <c r="E594" s="7"/>
    </row>
    <row r="595" spans="1:5">
      <c r="A595"/>
      <c r="B595"/>
      <c r="C595"/>
      <c r="D595"/>
      <c r="E595" s="7"/>
    </row>
    <row r="596" spans="1:5">
      <c r="A596"/>
      <c r="B596"/>
      <c r="C596"/>
      <c r="D596"/>
      <c r="E596" s="7"/>
    </row>
    <row r="597" spans="1:5">
      <c r="A597"/>
      <c r="B597"/>
      <c r="C597"/>
      <c r="D597"/>
      <c r="E597" s="7"/>
    </row>
    <row r="598" spans="1:5">
      <c r="A598"/>
      <c r="B598"/>
      <c r="C598"/>
      <c r="D598"/>
      <c r="E598" s="7"/>
    </row>
    <row r="599" spans="1:5">
      <c r="A599"/>
      <c r="B599"/>
      <c r="C599"/>
      <c r="D599"/>
      <c r="E599" s="7"/>
    </row>
    <row r="600" spans="1:5">
      <c r="A600"/>
      <c r="B600"/>
      <c r="C600"/>
      <c r="D600"/>
      <c r="E600" s="7"/>
    </row>
    <row r="601" spans="1:5">
      <c r="A601"/>
      <c r="B601"/>
      <c r="C601"/>
      <c r="D601"/>
      <c r="E601" s="7"/>
    </row>
    <row r="602" spans="1:5">
      <c r="A602"/>
      <c r="B602"/>
      <c r="C602"/>
      <c r="D602"/>
      <c r="E602" s="7"/>
    </row>
    <row r="603" spans="1:5">
      <c r="A603"/>
      <c r="B603"/>
      <c r="C603"/>
      <c r="D603"/>
      <c r="E603" s="7"/>
    </row>
    <row r="604" spans="1:5">
      <c r="A604"/>
      <c r="B604"/>
      <c r="C604"/>
      <c r="D604"/>
      <c r="E604" s="7"/>
    </row>
    <row r="605" spans="1:5">
      <c r="A605"/>
      <c r="B605"/>
      <c r="C605"/>
      <c r="D605"/>
      <c r="E605" s="7"/>
    </row>
    <row r="606" spans="1:5">
      <c r="A606"/>
      <c r="B606"/>
      <c r="C606"/>
      <c r="D606"/>
      <c r="E606" s="7"/>
    </row>
    <row r="607" spans="1:5">
      <c r="A607"/>
      <c r="B607"/>
      <c r="C607"/>
      <c r="D607"/>
      <c r="E607" s="7"/>
    </row>
    <row r="608" spans="1:5">
      <c r="A608"/>
      <c r="B608"/>
      <c r="C608"/>
      <c r="D608"/>
      <c r="E608" s="7"/>
    </row>
    <row r="609" spans="1:5">
      <c r="A609"/>
      <c r="B609"/>
      <c r="C609"/>
      <c r="D609"/>
      <c r="E609" s="7"/>
    </row>
    <row r="610" spans="1:5">
      <c r="A610"/>
      <c r="B610"/>
      <c r="C610"/>
      <c r="D610"/>
      <c r="E610" s="7"/>
    </row>
    <row r="611" spans="1:5">
      <c r="A611"/>
      <c r="B611"/>
      <c r="C611"/>
      <c r="D611"/>
      <c r="E611" s="7"/>
    </row>
    <row r="612" spans="1:5">
      <c r="A612"/>
      <c r="B612"/>
      <c r="C612"/>
      <c r="D612"/>
      <c r="E612" s="7"/>
    </row>
    <row r="613" spans="1:5">
      <c r="A613"/>
      <c r="B613"/>
      <c r="C613"/>
      <c r="D613"/>
      <c r="E613" s="7"/>
    </row>
    <row r="614" spans="1:5">
      <c r="A614"/>
      <c r="B614"/>
      <c r="C614"/>
      <c r="D614"/>
      <c r="E614" s="7"/>
    </row>
    <row r="615" spans="1:5">
      <c r="A615"/>
      <c r="B615"/>
      <c r="C615"/>
      <c r="D615"/>
      <c r="E615" s="7"/>
    </row>
    <row r="616" spans="1:5">
      <c r="A616"/>
      <c r="B616"/>
      <c r="C616"/>
      <c r="D616"/>
      <c r="E616" s="7"/>
    </row>
    <row r="617" spans="1:5">
      <c r="A617"/>
      <c r="B617"/>
      <c r="C617"/>
      <c r="D617"/>
      <c r="E617" s="7"/>
    </row>
    <row r="618" spans="1:5">
      <c r="A618"/>
      <c r="B618"/>
      <c r="C618"/>
      <c r="D618"/>
      <c r="E618" s="7"/>
    </row>
    <row r="619" spans="1:5">
      <c r="A619"/>
      <c r="B619"/>
      <c r="C619"/>
      <c r="D619"/>
      <c r="E619" s="7"/>
    </row>
    <row r="620" spans="1:5">
      <c r="A620"/>
      <c r="B620"/>
      <c r="C620"/>
      <c r="D620"/>
      <c r="E620" s="7"/>
    </row>
    <row r="621" spans="1:5">
      <c r="A621"/>
      <c r="B621"/>
      <c r="C621"/>
      <c r="D621"/>
      <c r="E621" s="7"/>
    </row>
    <row r="622" spans="1:5">
      <c r="A622"/>
      <c r="B622"/>
      <c r="C622"/>
      <c r="D622"/>
      <c r="E622" s="7"/>
    </row>
    <row r="623" spans="1:5">
      <c r="A623"/>
      <c r="B623"/>
      <c r="C623"/>
      <c r="D623"/>
      <c r="E623" s="7"/>
    </row>
    <row r="624" spans="1:5">
      <c r="A624"/>
      <c r="B624"/>
      <c r="C624"/>
      <c r="D624"/>
      <c r="E624" s="7"/>
    </row>
    <row r="625" spans="1:5">
      <c r="A625"/>
      <c r="B625"/>
      <c r="C625"/>
      <c r="D625"/>
      <c r="E625" s="7"/>
    </row>
    <row r="626" spans="1:5">
      <c r="A626"/>
      <c r="B626"/>
      <c r="C626"/>
      <c r="D626"/>
      <c r="E626" s="7"/>
    </row>
    <row r="627" spans="1:5">
      <c r="A627"/>
      <c r="B627"/>
      <c r="C627"/>
      <c r="D627"/>
      <c r="E627" s="7"/>
    </row>
    <row r="628" spans="1:5">
      <c r="A628"/>
      <c r="B628"/>
      <c r="C628"/>
      <c r="D628"/>
      <c r="E628" s="7"/>
    </row>
    <row r="629" spans="1:5">
      <c r="A629"/>
      <c r="B629"/>
      <c r="C629"/>
      <c r="D629"/>
      <c r="E629" s="7"/>
    </row>
    <row r="630" spans="1:5">
      <c r="A630"/>
      <c r="B630"/>
      <c r="C630"/>
      <c r="D630"/>
      <c r="E630" s="7"/>
    </row>
    <row r="631" spans="1:5">
      <c r="A631"/>
      <c r="B631"/>
      <c r="C631"/>
      <c r="D631"/>
      <c r="E631" s="7"/>
    </row>
    <row r="632" spans="1:5">
      <c r="A632"/>
      <c r="B632"/>
      <c r="C632"/>
      <c r="D632"/>
      <c r="E632" s="7"/>
    </row>
    <row r="633" spans="1:5">
      <c r="A633"/>
      <c r="B633"/>
      <c r="C633"/>
      <c r="D633"/>
      <c r="E633" s="7"/>
    </row>
    <row r="634" spans="1:5">
      <c r="A634"/>
      <c r="B634"/>
      <c r="C634"/>
      <c r="D634"/>
      <c r="E634" s="7"/>
    </row>
    <row r="635" spans="1:5">
      <c r="A635"/>
      <c r="B635"/>
      <c r="C635"/>
      <c r="D635"/>
      <c r="E635" s="7"/>
    </row>
    <row r="636" spans="1:5">
      <c r="A636"/>
      <c r="B636"/>
      <c r="C636"/>
      <c r="D636"/>
      <c r="E636" s="7"/>
    </row>
    <row r="637" spans="1:5">
      <c r="A637"/>
      <c r="B637"/>
      <c r="C637"/>
      <c r="D637"/>
      <c r="E637" s="7"/>
    </row>
    <row r="638" spans="1:5">
      <c r="A638"/>
      <c r="B638"/>
      <c r="C638"/>
      <c r="D638"/>
      <c r="E638" s="7"/>
    </row>
    <row r="639" spans="1:5">
      <c r="A639"/>
      <c r="B639"/>
      <c r="C639"/>
      <c r="D639"/>
      <c r="E639" s="7"/>
    </row>
    <row r="640" spans="1:5">
      <c r="A640"/>
      <c r="B640"/>
      <c r="C640"/>
      <c r="D640"/>
      <c r="E640" s="7"/>
    </row>
    <row r="641" spans="1:5">
      <c r="A641"/>
      <c r="B641"/>
      <c r="C641"/>
      <c r="D641"/>
      <c r="E641" s="7"/>
    </row>
    <row r="642" spans="1:5">
      <c r="A642"/>
      <c r="B642"/>
      <c r="C642"/>
      <c r="D642"/>
      <c r="E642" s="7"/>
    </row>
    <row r="643" spans="1:5">
      <c r="A643"/>
      <c r="B643"/>
      <c r="C643"/>
      <c r="D643"/>
      <c r="E643" s="7"/>
    </row>
    <row r="644" spans="1:5">
      <c r="A644"/>
      <c r="B644"/>
      <c r="C644"/>
      <c r="D644"/>
      <c r="E644" s="7"/>
    </row>
    <row r="645" spans="1:5">
      <c r="A645"/>
      <c r="B645"/>
      <c r="C645"/>
      <c r="D645"/>
      <c r="E645" s="7"/>
    </row>
    <row r="646" spans="1:5">
      <c r="A646"/>
      <c r="B646"/>
      <c r="C646"/>
      <c r="D646"/>
      <c r="E646" s="7"/>
    </row>
    <row r="647" spans="1:5">
      <c r="A647"/>
      <c r="B647"/>
      <c r="C647"/>
      <c r="D647"/>
      <c r="E647" s="7"/>
    </row>
    <row r="648" spans="1:5">
      <c r="A648"/>
      <c r="B648"/>
      <c r="C648"/>
      <c r="D648"/>
      <c r="E648" s="7"/>
    </row>
    <row r="649" spans="1:5">
      <c r="A649"/>
      <c r="B649"/>
      <c r="C649"/>
      <c r="D649"/>
      <c r="E649" s="7"/>
    </row>
    <row r="650" spans="1:5">
      <c r="A650"/>
      <c r="B650"/>
      <c r="C650"/>
      <c r="D650"/>
      <c r="E650" s="7"/>
    </row>
    <row r="651" spans="1:5">
      <c r="A651"/>
      <c r="B651"/>
      <c r="C651"/>
      <c r="D651"/>
      <c r="E651" s="7"/>
    </row>
    <row r="652" spans="1:5">
      <c r="A652"/>
      <c r="B652"/>
      <c r="C652"/>
      <c r="D652"/>
      <c r="E652" s="7"/>
    </row>
    <row r="653" spans="1:5">
      <c r="A653"/>
      <c r="B653"/>
      <c r="C653"/>
      <c r="D653"/>
      <c r="E653" s="7"/>
    </row>
    <row r="654" spans="1:5">
      <c r="A654"/>
      <c r="B654"/>
      <c r="C654"/>
      <c r="D654"/>
      <c r="E654" s="7"/>
    </row>
    <row r="655" spans="1:5">
      <c r="A655"/>
      <c r="B655"/>
      <c r="C655"/>
      <c r="D655"/>
      <c r="E655" s="7"/>
    </row>
    <row r="656" spans="1:5">
      <c r="A656"/>
      <c r="B656"/>
      <c r="C656"/>
      <c r="D656"/>
      <c r="E656" s="7"/>
    </row>
    <row r="657" spans="1:5">
      <c r="A657"/>
      <c r="B657"/>
      <c r="C657"/>
      <c r="D657"/>
      <c r="E657" s="7"/>
    </row>
    <row r="658" spans="1:5">
      <c r="A658"/>
      <c r="B658"/>
      <c r="C658"/>
      <c r="D658"/>
      <c r="E658" s="7"/>
    </row>
    <row r="659" spans="1:5">
      <c r="A659"/>
      <c r="B659"/>
      <c r="C659"/>
      <c r="D659"/>
      <c r="E659" s="7"/>
    </row>
    <row r="660" spans="1:5">
      <c r="A660"/>
      <c r="B660"/>
      <c r="C660" s="89"/>
      <c r="D660"/>
      <c r="E660" s="7"/>
    </row>
    <row r="661" spans="1:5">
      <c r="A661"/>
      <c r="B661"/>
      <c r="C661"/>
      <c r="D661"/>
      <c r="E661" s="7"/>
    </row>
    <row r="662" spans="1:5">
      <c r="A662"/>
      <c r="B662"/>
      <c r="C662"/>
      <c r="D662"/>
      <c r="E662" s="7"/>
    </row>
    <row r="663" spans="1:5">
      <c r="A663"/>
      <c r="B663"/>
      <c r="C663"/>
      <c r="D663"/>
      <c r="E663" s="7"/>
    </row>
    <row r="664" spans="1:5">
      <c r="A664"/>
      <c r="B664"/>
      <c r="C664"/>
      <c r="D664"/>
      <c r="E664" s="7"/>
    </row>
    <row r="665" spans="1:5">
      <c r="A665"/>
      <c r="B665"/>
      <c r="C665"/>
      <c r="D665"/>
      <c r="E665" s="7"/>
    </row>
    <row r="666" spans="1:5">
      <c r="A666"/>
      <c r="B666"/>
      <c r="C666"/>
      <c r="D666"/>
      <c r="E666" s="7"/>
    </row>
    <row r="667" spans="1:5">
      <c r="A667"/>
      <c r="B667"/>
      <c r="C667"/>
      <c r="D667"/>
      <c r="E667" s="7"/>
    </row>
    <row r="668" spans="1:5">
      <c r="A668"/>
      <c r="B668"/>
      <c r="C668"/>
      <c r="D668"/>
      <c r="E668" s="7"/>
    </row>
    <row r="669" spans="1:5">
      <c r="A669"/>
      <c r="B669"/>
      <c r="C669"/>
      <c r="D669"/>
      <c r="E669" s="7"/>
    </row>
    <row r="670" spans="1:5">
      <c r="A670"/>
      <c r="B670"/>
      <c r="C670"/>
      <c r="D670"/>
      <c r="E670" s="7"/>
    </row>
    <row r="671" spans="1:5">
      <c r="A671"/>
      <c r="B671"/>
      <c r="C671"/>
      <c r="D671"/>
      <c r="E671" s="7"/>
    </row>
    <row r="672" spans="1:5">
      <c r="A672"/>
      <c r="B672"/>
      <c r="C672"/>
      <c r="D672"/>
      <c r="E672" s="7"/>
    </row>
    <row r="673" spans="1:5">
      <c r="A673"/>
      <c r="B673"/>
      <c r="C673"/>
      <c r="D673"/>
      <c r="E673" s="7"/>
    </row>
    <row r="674" spans="1:5">
      <c r="A674"/>
      <c r="B674"/>
      <c r="C674"/>
      <c r="D674"/>
      <c r="E674" s="7"/>
    </row>
    <row r="675" spans="1:5">
      <c r="A675"/>
      <c r="B675"/>
      <c r="C675"/>
      <c r="D675"/>
      <c r="E675" s="7"/>
    </row>
    <row r="676" spans="1:5">
      <c r="A676"/>
      <c r="B676"/>
      <c r="C676"/>
      <c r="D676"/>
      <c r="E676" s="7"/>
    </row>
    <row r="677" spans="1:5">
      <c r="A677"/>
      <c r="B677"/>
      <c r="C677"/>
      <c r="D677"/>
      <c r="E677" s="7"/>
    </row>
    <row r="678" spans="1:5">
      <c r="A678"/>
      <c r="B678"/>
      <c r="C678"/>
      <c r="D678"/>
      <c r="E678" s="7"/>
    </row>
    <row r="679" spans="1:5">
      <c r="A679"/>
      <c r="B679"/>
      <c r="C679"/>
      <c r="D679"/>
      <c r="E679" s="7"/>
    </row>
    <row r="680" spans="1:5">
      <c r="A680"/>
      <c r="B680"/>
      <c r="C680"/>
      <c r="D680"/>
      <c r="E680" s="7"/>
    </row>
    <row r="681" spans="1:5">
      <c r="A681"/>
      <c r="B681"/>
      <c r="C681"/>
      <c r="D681"/>
      <c r="E681" s="7"/>
    </row>
    <row r="682" spans="1:5">
      <c r="A682"/>
      <c r="B682"/>
      <c r="C682"/>
      <c r="D682"/>
      <c r="E682" s="7"/>
    </row>
    <row r="683" spans="1:5">
      <c r="A683"/>
      <c r="B683"/>
      <c r="C683"/>
      <c r="D683"/>
      <c r="E683" s="7"/>
    </row>
    <row r="684" spans="1:5">
      <c r="A684"/>
      <c r="B684"/>
      <c r="C684"/>
      <c r="D684"/>
      <c r="E684" s="7"/>
    </row>
    <row r="685" spans="1:5">
      <c r="A685"/>
      <c r="B685"/>
      <c r="C685"/>
      <c r="D685"/>
      <c r="E685" s="7"/>
    </row>
    <row r="686" spans="1:5">
      <c r="A686"/>
      <c r="B686"/>
      <c r="C686"/>
      <c r="D686"/>
      <c r="E686" s="7"/>
    </row>
    <row r="687" spans="1:5">
      <c r="A687"/>
      <c r="B687"/>
      <c r="C687"/>
      <c r="D687"/>
      <c r="E687" s="7"/>
    </row>
    <row r="688" spans="1:5">
      <c r="A688"/>
      <c r="B688"/>
      <c r="C688"/>
      <c r="D688" s="26"/>
      <c r="E688" s="7"/>
    </row>
    <row r="689" spans="1:5">
      <c r="A689"/>
      <c r="B689"/>
      <c r="C689"/>
      <c r="D689"/>
      <c r="E689" s="7"/>
    </row>
    <row r="690" spans="1:5">
      <c r="A690"/>
      <c r="B690"/>
      <c r="C690"/>
      <c r="D690"/>
      <c r="E690" s="7"/>
    </row>
    <row r="691" spans="1:5">
      <c r="A691"/>
      <c r="B691"/>
      <c r="C691"/>
      <c r="D691"/>
      <c r="E691" s="7"/>
    </row>
    <row r="692" spans="1:5">
      <c r="A692"/>
      <c r="B692"/>
      <c r="C692"/>
      <c r="D692"/>
      <c r="E692" s="7"/>
    </row>
    <row r="693" spans="1:5">
      <c r="A693"/>
      <c r="B693"/>
      <c r="C693"/>
      <c r="D693"/>
      <c r="E693" s="7"/>
    </row>
    <row r="694" spans="1:5">
      <c r="A694"/>
      <c r="B694"/>
      <c r="C694"/>
      <c r="D694"/>
      <c r="E694" s="7"/>
    </row>
    <row r="695" spans="1:5">
      <c r="A695"/>
      <c r="B695"/>
      <c r="C695"/>
      <c r="D695"/>
      <c r="E695" s="7"/>
    </row>
    <row r="696" spans="1:5">
      <c r="A696"/>
      <c r="B696"/>
      <c r="C696"/>
      <c r="D696"/>
      <c r="E696" s="7"/>
    </row>
    <row r="697" spans="1:5">
      <c r="A697"/>
      <c r="B697"/>
      <c r="C697"/>
      <c r="D697"/>
      <c r="E697" s="7"/>
    </row>
    <row r="698" spans="1:5">
      <c r="A698"/>
      <c r="B698"/>
      <c r="C698"/>
      <c r="D698"/>
      <c r="E698" s="7"/>
    </row>
    <row r="699" spans="1:5">
      <c r="A699"/>
      <c r="B699"/>
      <c r="C699"/>
      <c r="D699"/>
      <c r="E699" s="7"/>
    </row>
    <row r="700" spans="1:5">
      <c r="A700"/>
      <c r="B700"/>
      <c r="C700"/>
      <c r="D700"/>
      <c r="E700" s="7"/>
    </row>
    <row r="701" spans="1:5">
      <c r="A701"/>
      <c r="B701"/>
      <c r="C701"/>
      <c r="D701"/>
      <c r="E701" s="7"/>
    </row>
    <row r="702" spans="1:5">
      <c r="A702"/>
      <c r="B702"/>
      <c r="C702"/>
      <c r="D702"/>
      <c r="E702" s="7"/>
    </row>
    <row r="703" spans="1:5">
      <c r="A703"/>
      <c r="B703"/>
      <c r="C703"/>
      <c r="D703"/>
      <c r="E703" s="7"/>
    </row>
    <row r="704" spans="1:5">
      <c r="A704"/>
      <c r="B704"/>
      <c r="C704"/>
      <c r="D704"/>
      <c r="E704" s="7"/>
    </row>
    <row r="705" spans="1:5">
      <c r="A705"/>
      <c r="B705"/>
      <c r="C705"/>
      <c r="D705"/>
      <c r="E705" s="7"/>
    </row>
    <row r="706" spans="1:5">
      <c r="A706"/>
      <c r="B706"/>
      <c r="C706"/>
      <c r="D706"/>
      <c r="E706" s="7"/>
    </row>
    <row r="707" spans="1:5">
      <c r="A707"/>
      <c r="B707"/>
      <c r="C707"/>
      <c r="D707"/>
      <c r="E707" s="7"/>
    </row>
    <row r="708" spans="1:5">
      <c r="A708"/>
      <c r="B708"/>
      <c r="C708"/>
      <c r="D708"/>
      <c r="E708" s="7"/>
    </row>
    <row r="709" spans="1:5">
      <c r="A709"/>
      <c r="B709"/>
      <c r="C709"/>
      <c r="D709"/>
      <c r="E709" s="7"/>
    </row>
    <row r="710" spans="1:5">
      <c r="A710"/>
      <c r="B710"/>
      <c r="C710"/>
      <c r="D710"/>
      <c r="E710" s="7"/>
    </row>
    <row r="711" spans="1:5">
      <c r="A711"/>
      <c r="B711"/>
      <c r="C711"/>
      <c r="D711"/>
      <c r="E711" s="7"/>
    </row>
    <row r="712" spans="1:5">
      <c r="A712"/>
      <c r="B712"/>
      <c r="C712"/>
      <c r="D712"/>
      <c r="E712" s="7"/>
    </row>
    <row r="713" spans="1:5">
      <c r="A713"/>
      <c r="B713"/>
      <c r="C713"/>
      <c r="D713"/>
      <c r="E713" s="7"/>
    </row>
    <row r="714" spans="1:5">
      <c r="A714"/>
      <c r="B714"/>
      <c r="C714"/>
      <c r="D714"/>
      <c r="E714" s="7"/>
    </row>
    <row r="715" spans="1:5">
      <c r="A715"/>
      <c r="B715"/>
      <c r="C715"/>
      <c r="D715"/>
      <c r="E715" s="7"/>
    </row>
    <row r="716" spans="1:5">
      <c r="A716"/>
      <c r="B716"/>
      <c r="C716"/>
      <c r="D716"/>
      <c r="E716" s="7"/>
    </row>
    <row r="717" spans="1:5">
      <c r="A717"/>
      <c r="B717"/>
      <c r="C717"/>
      <c r="D717"/>
      <c r="E717" s="7"/>
    </row>
    <row r="718" spans="1:5">
      <c r="A718"/>
      <c r="B718"/>
      <c r="C718"/>
      <c r="D718"/>
      <c r="E718" s="7"/>
    </row>
    <row r="719" spans="1:5">
      <c r="A719"/>
      <c r="B719"/>
      <c r="C719"/>
      <c r="D719"/>
      <c r="E719" s="7"/>
    </row>
    <row r="720" spans="1:5">
      <c r="A720"/>
      <c r="B720"/>
      <c r="C720"/>
      <c r="D720"/>
      <c r="E720" s="7"/>
    </row>
    <row r="721" spans="1:5">
      <c r="A721"/>
      <c r="B721"/>
      <c r="C721"/>
      <c r="D721"/>
      <c r="E721" s="7"/>
    </row>
    <row r="722" spans="1:5">
      <c r="A722"/>
      <c r="B722"/>
      <c r="C722"/>
      <c r="D722"/>
      <c r="E722" s="7"/>
    </row>
    <row r="723" spans="1:5">
      <c r="A723"/>
      <c r="B723"/>
      <c r="C723"/>
      <c r="D723"/>
      <c r="E723" s="7"/>
    </row>
    <row r="724" spans="1:5">
      <c r="A724"/>
      <c r="B724"/>
      <c r="C724"/>
      <c r="D724"/>
      <c r="E724" s="7"/>
    </row>
    <row r="725" spans="1:5">
      <c r="A725"/>
      <c r="B725"/>
      <c r="C725"/>
      <c r="D725"/>
      <c r="E725" s="7"/>
    </row>
    <row r="726" spans="1:5">
      <c r="A726"/>
      <c r="B726"/>
      <c r="C726"/>
      <c r="D726"/>
      <c r="E726" s="7"/>
    </row>
    <row r="727" spans="1:5">
      <c r="A727"/>
      <c r="B727"/>
      <c r="C727"/>
      <c r="D727" s="26"/>
      <c r="E727" s="7"/>
    </row>
    <row r="728" spans="1:5">
      <c r="A728"/>
      <c r="B728"/>
      <c r="C728"/>
      <c r="D728"/>
      <c r="E728" s="7"/>
    </row>
    <row r="729" spans="1:5">
      <c r="A729"/>
      <c r="B729"/>
      <c r="C729"/>
      <c r="D729"/>
      <c r="E729" s="7"/>
    </row>
    <row r="730" spans="1:5">
      <c r="A730"/>
      <c r="B730"/>
      <c r="C730"/>
      <c r="D730"/>
      <c r="E730" s="7"/>
    </row>
    <row r="731" spans="1:5">
      <c r="A731"/>
      <c r="B731"/>
      <c r="C731"/>
      <c r="D731"/>
      <c r="E731" s="7"/>
    </row>
    <row r="732" spans="1:5">
      <c r="A732"/>
      <c r="B732"/>
      <c r="C732"/>
      <c r="D732"/>
      <c r="E732" s="7"/>
    </row>
    <row r="733" spans="1:5">
      <c r="A733"/>
      <c r="B733"/>
      <c r="C733"/>
      <c r="D733" s="26"/>
      <c r="E733" s="7"/>
    </row>
    <row r="734" spans="1:5">
      <c r="A734"/>
      <c r="B734"/>
      <c r="C734"/>
      <c r="D734"/>
      <c r="E734" s="7"/>
    </row>
    <row r="735" spans="1:5">
      <c r="A735"/>
      <c r="B735"/>
      <c r="C735"/>
      <c r="D735"/>
      <c r="E735" s="7"/>
    </row>
    <row r="736" spans="1:5">
      <c r="A736"/>
      <c r="B736"/>
      <c r="C736"/>
      <c r="D736"/>
      <c r="E736" s="7"/>
    </row>
    <row r="737" spans="1:5">
      <c r="A737"/>
      <c r="B737"/>
      <c r="C737"/>
      <c r="D737"/>
      <c r="E737" s="7"/>
    </row>
    <row r="738" spans="1:5">
      <c r="A738"/>
      <c r="B738"/>
      <c r="C738"/>
      <c r="D738"/>
      <c r="E738" s="7"/>
    </row>
    <row r="739" spans="1:5">
      <c r="A739"/>
      <c r="B739"/>
      <c r="C739"/>
      <c r="D739"/>
      <c r="E739" s="7"/>
    </row>
    <row r="740" spans="1:5">
      <c r="A740"/>
      <c r="B740"/>
      <c r="C740"/>
      <c r="D740"/>
      <c r="E740" s="7"/>
    </row>
    <row r="741" spans="1:5">
      <c r="A741"/>
      <c r="B741"/>
      <c r="C741"/>
      <c r="D741"/>
      <c r="E741" s="7"/>
    </row>
    <row r="742" spans="1:5">
      <c r="A742"/>
      <c r="B742"/>
      <c r="C742"/>
      <c r="D742"/>
      <c r="E742" s="7"/>
    </row>
    <row r="743" spans="1:5">
      <c r="A743"/>
      <c r="B743"/>
      <c r="C743"/>
      <c r="D743"/>
      <c r="E743" s="7"/>
    </row>
    <row r="744" spans="1:5">
      <c r="A744"/>
      <c r="B744"/>
      <c r="C744"/>
      <c r="D744"/>
      <c r="E744" s="7"/>
    </row>
    <row r="745" spans="1:5">
      <c r="A745"/>
      <c r="B745"/>
      <c r="C745"/>
      <c r="D745"/>
      <c r="E745" s="7"/>
    </row>
    <row r="746" spans="1:5">
      <c r="A746"/>
      <c r="B746"/>
      <c r="C746"/>
      <c r="D746"/>
      <c r="E746" s="7"/>
    </row>
    <row r="747" spans="1:5">
      <c r="A747"/>
      <c r="B747"/>
      <c r="C747"/>
      <c r="D747"/>
      <c r="E747" s="7"/>
    </row>
    <row r="748" spans="1:5">
      <c r="A748"/>
      <c r="B748"/>
      <c r="C748"/>
      <c r="D748"/>
      <c r="E748" s="7"/>
    </row>
    <row r="749" spans="1:5">
      <c r="A749"/>
      <c r="B749"/>
      <c r="C749"/>
      <c r="D749"/>
      <c r="E749" s="7"/>
    </row>
    <row r="750" spans="1:5">
      <c r="A750"/>
      <c r="B750"/>
      <c r="C750"/>
      <c r="D750"/>
      <c r="E750" s="7"/>
    </row>
    <row r="751" spans="1:5">
      <c r="A751"/>
      <c r="B751"/>
      <c r="C751"/>
      <c r="D751"/>
      <c r="E751" s="7"/>
    </row>
    <row r="752" spans="1:5">
      <c r="A752"/>
      <c r="B752"/>
      <c r="C752"/>
      <c r="D752" s="26"/>
      <c r="E752" s="7"/>
    </row>
    <row r="753" spans="1:5">
      <c r="A753"/>
      <c r="B753"/>
      <c r="C753"/>
      <c r="D753"/>
      <c r="E753" s="7"/>
    </row>
    <row r="754" spans="1:5">
      <c r="A754"/>
      <c r="B754"/>
      <c r="C754"/>
      <c r="D754"/>
      <c r="E754" s="7"/>
    </row>
    <row r="755" spans="1:5">
      <c r="A755"/>
      <c r="B755"/>
      <c r="C755"/>
      <c r="D755"/>
      <c r="E755" s="7"/>
    </row>
    <row r="756" spans="1:5">
      <c r="A756"/>
      <c r="B756"/>
      <c r="C756"/>
      <c r="D756"/>
      <c r="E756" s="7"/>
    </row>
    <row r="757" spans="1:5">
      <c r="A757"/>
      <c r="B757"/>
      <c r="C757"/>
      <c r="D757"/>
      <c r="E757" s="7"/>
    </row>
    <row r="758" spans="1:5">
      <c r="A758"/>
      <c r="B758"/>
      <c r="C758"/>
      <c r="D758"/>
      <c r="E758" s="7"/>
    </row>
    <row r="759" spans="1:5">
      <c r="A759"/>
      <c r="B759"/>
      <c r="C759"/>
      <c r="D759"/>
      <c r="E759" s="7"/>
    </row>
    <row r="760" spans="1:5">
      <c r="A760"/>
      <c r="B760"/>
      <c r="C760"/>
      <c r="D760"/>
      <c r="E760" s="7"/>
    </row>
    <row r="761" spans="1:5">
      <c r="A761"/>
      <c r="B761"/>
      <c r="C761"/>
      <c r="D761"/>
      <c r="E761" s="7"/>
    </row>
    <row r="762" spans="1:5">
      <c r="A762"/>
      <c r="B762"/>
      <c r="C762"/>
      <c r="D762"/>
      <c r="E762" s="7"/>
    </row>
    <row r="763" spans="1:5">
      <c r="A763"/>
      <c r="B763"/>
      <c r="C763"/>
      <c r="D763"/>
      <c r="E763" s="7"/>
    </row>
    <row r="764" spans="1:5">
      <c r="A764"/>
      <c r="B764"/>
      <c r="C764"/>
      <c r="D764"/>
      <c r="E764" s="7"/>
    </row>
    <row r="765" spans="1:5">
      <c r="A765"/>
      <c r="B765"/>
      <c r="C765"/>
      <c r="D765"/>
      <c r="E765" s="7"/>
    </row>
    <row r="766" spans="1:5">
      <c r="A766"/>
      <c r="B766"/>
      <c r="C766"/>
      <c r="D766"/>
      <c r="E766" s="7"/>
    </row>
    <row r="767" spans="1:5">
      <c r="A767"/>
      <c r="B767"/>
      <c r="C767"/>
      <c r="D767"/>
      <c r="E767" s="7"/>
    </row>
    <row r="768" spans="1:5">
      <c r="A768"/>
      <c r="B768"/>
      <c r="C768"/>
      <c r="D768"/>
      <c r="E768" s="7"/>
    </row>
    <row r="769" spans="1:5">
      <c r="A769"/>
      <c r="B769"/>
      <c r="C769"/>
      <c r="D769"/>
      <c r="E769" s="7"/>
    </row>
    <row r="770" spans="1:5">
      <c r="A770"/>
      <c r="B770"/>
      <c r="C770"/>
      <c r="D770"/>
      <c r="E770" s="7"/>
    </row>
    <row r="771" spans="1:5">
      <c r="A771"/>
      <c r="B771"/>
      <c r="C771"/>
      <c r="D771"/>
      <c r="E771" s="7"/>
    </row>
    <row r="772" spans="1:5">
      <c r="A772"/>
      <c r="B772"/>
      <c r="C772"/>
      <c r="D772"/>
      <c r="E772" s="7"/>
    </row>
    <row r="773" spans="1:5">
      <c r="A773"/>
      <c r="B773"/>
      <c r="C773"/>
      <c r="D773"/>
      <c r="E773" s="7"/>
    </row>
    <row r="774" spans="1:5">
      <c r="A774"/>
      <c r="B774"/>
      <c r="C774"/>
      <c r="D774"/>
      <c r="E774" s="7"/>
    </row>
    <row r="775" spans="1:5">
      <c r="A775"/>
      <c r="B775"/>
      <c r="C775"/>
      <c r="D775"/>
      <c r="E775" s="7"/>
    </row>
    <row r="776" spans="1:5">
      <c r="A776"/>
      <c r="B776"/>
      <c r="C776"/>
      <c r="D776" s="26"/>
      <c r="E776" s="7"/>
    </row>
    <row r="777" spans="1:5">
      <c r="A777"/>
      <c r="B777"/>
      <c r="C777"/>
      <c r="D777"/>
      <c r="E777" s="7"/>
    </row>
    <row r="778" spans="1:5">
      <c r="A778"/>
      <c r="B778"/>
      <c r="C778"/>
      <c r="D778"/>
      <c r="E778" s="7"/>
    </row>
    <row r="779" spans="1:5">
      <c r="A779"/>
      <c r="B779"/>
      <c r="C779"/>
      <c r="D779"/>
      <c r="E779" s="7"/>
    </row>
    <row r="780" spans="1:5">
      <c r="A780"/>
      <c r="B780"/>
      <c r="C780"/>
      <c r="D780"/>
      <c r="E780" s="7"/>
    </row>
    <row r="781" spans="1:5">
      <c r="A781"/>
      <c r="B781"/>
      <c r="C781"/>
      <c r="D781"/>
      <c r="E781" s="7"/>
    </row>
    <row r="782" spans="1:5">
      <c r="A782"/>
      <c r="B782"/>
      <c r="C782"/>
      <c r="D782"/>
      <c r="E782" s="7"/>
    </row>
    <row r="783" spans="1:5">
      <c r="A783"/>
      <c r="B783"/>
      <c r="C783"/>
      <c r="D783"/>
      <c r="E783" s="7"/>
    </row>
    <row r="784" spans="1:5">
      <c r="A784"/>
      <c r="B784"/>
      <c r="C784"/>
      <c r="D784"/>
      <c r="E784" s="7"/>
    </row>
    <row r="785" spans="1:5">
      <c r="A785"/>
      <c r="B785"/>
      <c r="C785"/>
      <c r="D785"/>
      <c r="E785" s="7"/>
    </row>
    <row r="786" spans="1:5">
      <c r="A786"/>
      <c r="B786"/>
      <c r="C786"/>
      <c r="D786"/>
      <c r="E786" s="7"/>
    </row>
    <row r="787" spans="1:5">
      <c r="A787"/>
      <c r="B787"/>
      <c r="C787"/>
      <c r="D787"/>
      <c r="E787" s="7"/>
    </row>
    <row r="788" spans="1:5">
      <c r="A788"/>
      <c r="B788"/>
      <c r="C788"/>
      <c r="D788"/>
      <c r="E788" s="7"/>
    </row>
    <row r="789" spans="1:5">
      <c r="A789"/>
      <c r="B789"/>
      <c r="C789"/>
      <c r="D789"/>
      <c r="E789" s="7"/>
    </row>
    <row r="790" spans="1:5">
      <c r="A790"/>
      <c r="B790"/>
      <c r="C790"/>
      <c r="D790"/>
      <c r="E790" s="7"/>
    </row>
    <row r="791" spans="1:5">
      <c r="A791"/>
      <c r="B791"/>
      <c r="C791"/>
      <c r="D791"/>
      <c r="E791" s="7"/>
    </row>
    <row r="792" spans="1:5">
      <c r="A792"/>
      <c r="B792"/>
      <c r="C792"/>
      <c r="D792"/>
      <c r="E792" s="7"/>
    </row>
    <row r="793" spans="1:5">
      <c r="A793"/>
      <c r="B793"/>
      <c r="C793"/>
      <c r="D793"/>
      <c r="E793" s="7"/>
    </row>
    <row r="794" spans="1:5">
      <c r="A794"/>
      <c r="B794"/>
      <c r="C794"/>
      <c r="D794"/>
      <c r="E794" s="7"/>
    </row>
    <row r="795" spans="1:5">
      <c r="A795"/>
      <c r="B795"/>
      <c r="C795"/>
      <c r="D795"/>
      <c r="E795" s="7"/>
    </row>
    <row r="796" spans="1:5">
      <c r="A796"/>
      <c r="B796"/>
      <c r="C796"/>
      <c r="D796"/>
      <c r="E796" s="7"/>
    </row>
    <row r="797" spans="1:5">
      <c r="A797"/>
      <c r="B797"/>
      <c r="C797"/>
      <c r="D797"/>
      <c r="E797" s="7"/>
    </row>
    <row r="798" spans="1:5">
      <c r="A798"/>
      <c r="B798"/>
      <c r="C798"/>
      <c r="D798" s="26"/>
      <c r="E798" s="7"/>
    </row>
    <row r="799" spans="1:5">
      <c r="A799"/>
      <c r="B799"/>
      <c r="C799"/>
      <c r="D799"/>
      <c r="E799" s="7"/>
    </row>
    <row r="800" spans="1:5">
      <c r="A800"/>
      <c r="B800"/>
      <c r="C800"/>
      <c r="D800"/>
      <c r="E800" s="7"/>
    </row>
    <row r="801" spans="1:5">
      <c r="A801"/>
      <c r="B801"/>
      <c r="C801"/>
      <c r="D801"/>
      <c r="E801" s="7"/>
    </row>
    <row r="802" spans="1:5">
      <c r="A802"/>
      <c r="B802"/>
      <c r="C802"/>
      <c r="D802"/>
      <c r="E802" s="7"/>
    </row>
    <row r="803" spans="1:5">
      <c r="A803"/>
      <c r="B803"/>
      <c r="C803"/>
      <c r="D803"/>
      <c r="E803" s="7"/>
    </row>
    <row r="804" spans="1:5">
      <c r="A804"/>
      <c r="B804"/>
      <c r="C804"/>
      <c r="D804"/>
      <c r="E804" s="7"/>
    </row>
    <row r="805" spans="1:5">
      <c r="A805"/>
      <c r="B805"/>
      <c r="C805"/>
      <c r="D805"/>
      <c r="E805" s="7"/>
    </row>
    <row r="806" spans="1:5">
      <c r="A806"/>
      <c r="B806"/>
      <c r="C806"/>
      <c r="D806"/>
      <c r="E806" s="7"/>
    </row>
    <row r="807" spans="1:5">
      <c r="A807"/>
      <c r="B807"/>
      <c r="C807"/>
      <c r="D807"/>
      <c r="E807" s="7"/>
    </row>
    <row r="808" spans="1:5">
      <c r="A808"/>
      <c r="B808"/>
      <c r="C808"/>
      <c r="D808"/>
      <c r="E808" s="7"/>
    </row>
    <row r="809" spans="1:5">
      <c r="A809"/>
      <c r="B809"/>
      <c r="C809"/>
      <c r="D809"/>
      <c r="E809" s="7"/>
    </row>
    <row r="810" spans="1:5">
      <c r="A810"/>
      <c r="B810"/>
      <c r="C810"/>
      <c r="D810"/>
      <c r="E810" s="7"/>
    </row>
    <row r="811" spans="1:5">
      <c r="A811"/>
      <c r="B811"/>
      <c r="C811"/>
      <c r="D811"/>
      <c r="E811" s="7"/>
    </row>
    <row r="812" spans="1:5">
      <c r="A812"/>
      <c r="B812"/>
      <c r="C812"/>
      <c r="D812"/>
      <c r="E812" s="7"/>
    </row>
    <row r="813" spans="1:5">
      <c r="A813"/>
      <c r="B813"/>
      <c r="C813"/>
      <c r="D813"/>
      <c r="E813" s="7"/>
    </row>
    <row r="814" spans="1:5">
      <c r="A814"/>
      <c r="B814"/>
      <c r="C814"/>
      <c r="D814"/>
      <c r="E814" s="7"/>
    </row>
    <row r="815" spans="1:5">
      <c r="A815"/>
      <c r="B815"/>
      <c r="C815"/>
      <c r="D815"/>
      <c r="E815" s="7"/>
    </row>
    <row r="816" spans="1:5">
      <c r="A816"/>
      <c r="B816"/>
      <c r="C816"/>
      <c r="D816"/>
      <c r="E816" s="7"/>
    </row>
    <row r="817" spans="1:5">
      <c r="A817"/>
      <c r="B817"/>
      <c r="C817"/>
      <c r="D817"/>
      <c r="E817" s="7"/>
    </row>
    <row r="818" spans="1:5">
      <c r="A818"/>
      <c r="B818"/>
      <c r="C818"/>
      <c r="D818"/>
      <c r="E818" s="7"/>
    </row>
    <row r="819" spans="1:5">
      <c r="A819"/>
      <c r="B819"/>
      <c r="C819"/>
      <c r="D819"/>
      <c r="E819" s="7"/>
    </row>
    <row r="820" spans="1:5">
      <c r="A820"/>
      <c r="B820"/>
      <c r="C820"/>
      <c r="D820"/>
      <c r="E820" s="7"/>
    </row>
    <row r="821" spans="1:5">
      <c r="A821"/>
      <c r="B821"/>
      <c r="C821"/>
      <c r="D821"/>
      <c r="E821" s="7"/>
    </row>
    <row r="822" spans="1:5">
      <c r="A822"/>
      <c r="B822"/>
      <c r="C822"/>
      <c r="D822"/>
      <c r="E822" s="7"/>
    </row>
    <row r="823" spans="1:5">
      <c r="A823"/>
      <c r="B823"/>
      <c r="C823"/>
      <c r="D823"/>
      <c r="E823" s="7"/>
    </row>
    <row r="824" spans="1:5">
      <c r="A824"/>
      <c r="B824"/>
      <c r="C824"/>
      <c r="D824"/>
      <c r="E824" s="7"/>
    </row>
    <row r="825" spans="1:5">
      <c r="A825"/>
      <c r="B825"/>
      <c r="C825"/>
      <c r="D825"/>
      <c r="E825" s="7"/>
    </row>
    <row r="826" spans="1:5">
      <c r="A826"/>
      <c r="B826"/>
      <c r="C826"/>
      <c r="D826"/>
      <c r="E826" s="7"/>
    </row>
    <row r="827" spans="1:5">
      <c r="A827"/>
      <c r="B827"/>
      <c r="C827"/>
      <c r="D827"/>
      <c r="E827" s="7"/>
    </row>
    <row r="828" spans="1:5">
      <c r="A828"/>
      <c r="B828"/>
      <c r="C828"/>
      <c r="D828"/>
      <c r="E828" s="7"/>
    </row>
    <row r="829" spans="1:5">
      <c r="A829"/>
      <c r="B829"/>
      <c r="C829"/>
      <c r="D829"/>
      <c r="E829" s="7"/>
    </row>
    <row r="830" spans="1:5">
      <c r="A830"/>
      <c r="B830"/>
      <c r="C830"/>
      <c r="D830"/>
      <c r="E830" s="7"/>
    </row>
    <row r="831" spans="1:5">
      <c r="A831"/>
      <c r="B831"/>
      <c r="C831"/>
      <c r="D831"/>
      <c r="E831" s="7"/>
    </row>
    <row r="832" spans="1:5">
      <c r="A832"/>
      <c r="B832"/>
      <c r="C832"/>
      <c r="D832"/>
      <c r="E832" s="7"/>
    </row>
    <row r="833" spans="1:5">
      <c r="A833"/>
      <c r="B833"/>
      <c r="C833"/>
      <c r="D833"/>
      <c r="E833" s="7"/>
    </row>
    <row r="834" spans="1:5">
      <c r="A834"/>
      <c r="B834"/>
      <c r="C834"/>
      <c r="D834"/>
      <c r="E834" s="7"/>
    </row>
    <row r="835" spans="1:5">
      <c r="A835"/>
      <c r="B835"/>
      <c r="C835"/>
      <c r="D835"/>
      <c r="E835" s="7"/>
    </row>
    <row r="836" spans="1:5">
      <c r="A836"/>
      <c r="B836"/>
      <c r="C836"/>
      <c r="D836"/>
      <c r="E836" s="7"/>
    </row>
    <row r="837" spans="1:5">
      <c r="A837"/>
      <c r="B837"/>
      <c r="C837"/>
      <c r="D837"/>
      <c r="E837" s="7"/>
    </row>
    <row r="838" spans="1:5">
      <c r="A838"/>
      <c r="B838"/>
      <c r="C838"/>
      <c r="D838"/>
      <c r="E838" s="7"/>
    </row>
    <row r="839" spans="1:5">
      <c r="A839"/>
      <c r="B839"/>
      <c r="C839"/>
      <c r="D839"/>
      <c r="E839" s="7"/>
    </row>
    <row r="840" spans="1:5">
      <c r="A840"/>
      <c r="B840"/>
      <c r="C840"/>
      <c r="D840"/>
      <c r="E840" s="7"/>
    </row>
    <row r="841" spans="1:5">
      <c r="A841"/>
      <c r="B841"/>
      <c r="C841"/>
      <c r="D841"/>
      <c r="E841" s="7"/>
    </row>
    <row r="842" spans="1:5">
      <c r="A842"/>
      <c r="B842"/>
      <c r="C842"/>
      <c r="D842"/>
      <c r="E842" s="7"/>
    </row>
    <row r="843" spans="1:5">
      <c r="A843"/>
      <c r="B843"/>
      <c r="C843"/>
      <c r="D843"/>
      <c r="E843" s="7"/>
    </row>
    <row r="844" spans="1:5">
      <c r="A844"/>
      <c r="B844"/>
      <c r="C844"/>
      <c r="D844"/>
      <c r="E844" s="7"/>
    </row>
    <row r="845" spans="1:5">
      <c r="A845"/>
      <c r="B845"/>
      <c r="C845"/>
      <c r="D845"/>
      <c r="E845" s="7"/>
    </row>
    <row r="846" spans="1:5">
      <c r="A846"/>
      <c r="B846"/>
      <c r="C846"/>
      <c r="D846"/>
      <c r="E846" s="7"/>
    </row>
    <row r="847" spans="1:5">
      <c r="A847"/>
      <c r="B847"/>
      <c r="C847"/>
      <c r="D847"/>
      <c r="E847" s="7"/>
    </row>
    <row r="848" spans="1:5">
      <c r="A848"/>
      <c r="B848"/>
      <c r="C848"/>
      <c r="D848"/>
      <c r="E848" s="7"/>
    </row>
    <row r="849" spans="1:5">
      <c r="A849"/>
      <c r="B849"/>
      <c r="C849"/>
      <c r="D849"/>
      <c r="E849" s="7"/>
    </row>
    <row r="850" spans="1:5">
      <c r="A850"/>
      <c r="B850"/>
      <c r="C850"/>
      <c r="D850"/>
      <c r="E850" s="7"/>
    </row>
    <row r="851" spans="1:5">
      <c r="A851"/>
      <c r="B851"/>
      <c r="C851"/>
      <c r="D851"/>
      <c r="E851" s="7"/>
    </row>
    <row r="852" spans="1:5">
      <c r="A852"/>
      <c r="B852"/>
      <c r="C852"/>
      <c r="D852"/>
      <c r="E852" s="7"/>
    </row>
    <row r="853" spans="1:5">
      <c r="A853"/>
      <c r="B853"/>
      <c r="C853"/>
      <c r="D853"/>
      <c r="E853" s="7"/>
    </row>
    <row r="854" spans="1:5">
      <c r="A854"/>
      <c r="B854"/>
      <c r="C854"/>
      <c r="D854"/>
      <c r="E854" s="7"/>
    </row>
    <row r="855" spans="1:5">
      <c r="A855"/>
      <c r="B855"/>
      <c r="C855"/>
      <c r="D855"/>
      <c r="E855" s="7"/>
    </row>
    <row r="856" spans="1:5">
      <c r="A856"/>
      <c r="B856"/>
      <c r="C856"/>
      <c r="D856"/>
      <c r="E856" s="7"/>
    </row>
    <row r="857" spans="1:5">
      <c r="A857"/>
      <c r="B857"/>
      <c r="C857"/>
      <c r="D857"/>
      <c r="E857" s="7"/>
    </row>
    <row r="858" spans="1:5">
      <c r="A858"/>
      <c r="B858"/>
      <c r="C858"/>
      <c r="D858"/>
      <c r="E858" s="7"/>
    </row>
    <row r="859" spans="1:5">
      <c r="A859"/>
      <c r="B859"/>
      <c r="C859"/>
      <c r="D859"/>
      <c r="E859" s="7"/>
    </row>
    <row r="860" spans="1:5">
      <c r="A860"/>
      <c r="B860"/>
      <c r="C860"/>
      <c r="D860"/>
      <c r="E860" s="7"/>
    </row>
    <row r="861" spans="1:5">
      <c r="A861"/>
      <c r="B861"/>
      <c r="C861"/>
      <c r="D861"/>
      <c r="E861" s="7"/>
    </row>
    <row r="862" spans="1:5">
      <c r="A862"/>
      <c r="B862"/>
      <c r="C862"/>
      <c r="D862"/>
      <c r="E862" s="7"/>
    </row>
    <row r="863" spans="1:5">
      <c r="A863"/>
      <c r="B863"/>
      <c r="C863"/>
      <c r="D863"/>
      <c r="E863" s="7"/>
    </row>
    <row r="864" spans="1:5">
      <c r="A864"/>
      <c r="B864"/>
      <c r="C864"/>
      <c r="D864"/>
      <c r="E864" s="7"/>
    </row>
    <row r="865" spans="1:5">
      <c r="A865"/>
      <c r="B865"/>
      <c r="C865"/>
      <c r="D865"/>
      <c r="E865" s="7"/>
    </row>
    <row r="866" spans="1:5">
      <c r="A866"/>
      <c r="B866"/>
      <c r="C866"/>
      <c r="D866"/>
      <c r="E866" s="7"/>
    </row>
    <row r="867" spans="1:5">
      <c r="A867"/>
      <c r="B867"/>
      <c r="C867"/>
      <c r="D867"/>
      <c r="E867" s="7"/>
    </row>
    <row r="868" spans="1:5">
      <c r="A868"/>
      <c r="B868"/>
      <c r="C868"/>
      <c r="D868"/>
      <c r="E868" s="7"/>
    </row>
    <row r="869" spans="1:5">
      <c r="A869"/>
      <c r="B869"/>
      <c r="C869"/>
      <c r="D869"/>
      <c r="E869" s="7"/>
    </row>
    <row r="870" spans="1:5">
      <c r="A870"/>
      <c r="B870"/>
      <c r="C870"/>
      <c r="D870"/>
      <c r="E870" s="7"/>
    </row>
    <row r="871" spans="1:5">
      <c r="A871"/>
      <c r="B871"/>
      <c r="C871"/>
      <c r="D871"/>
      <c r="E871" s="7"/>
    </row>
    <row r="872" spans="1:5">
      <c r="A872"/>
      <c r="B872"/>
      <c r="C872"/>
      <c r="D872"/>
      <c r="E872" s="7"/>
    </row>
    <row r="873" spans="1:5">
      <c r="A873"/>
      <c r="B873"/>
      <c r="C873"/>
      <c r="D873"/>
      <c r="E873" s="7"/>
    </row>
    <row r="874" spans="1:5">
      <c r="A874"/>
      <c r="B874"/>
      <c r="C874"/>
      <c r="D874"/>
      <c r="E874" s="7"/>
    </row>
    <row r="875" spans="1:5">
      <c r="A875"/>
      <c r="B875"/>
      <c r="C875"/>
      <c r="D875"/>
      <c r="E875" s="7"/>
    </row>
    <row r="876" spans="1:5">
      <c r="A876"/>
      <c r="B876"/>
      <c r="C876"/>
      <c r="D876"/>
      <c r="E876" s="7"/>
    </row>
    <row r="877" spans="1:5">
      <c r="A877"/>
      <c r="B877"/>
      <c r="C877"/>
      <c r="D877"/>
      <c r="E877" s="7"/>
    </row>
    <row r="878" spans="1:5">
      <c r="A878"/>
      <c r="B878"/>
      <c r="C878"/>
      <c r="D878" s="26"/>
      <c r="E878" s="7"/>
    </row>
    <row r="879" spans="1:5">
      <c r="A879"/>
      <c r="B879"/>
      <c r="C879"/>
      <c r="D879"/>
      <c r="E879" s="7"/>
    </row>
    <row r="880" spans="1:5">
      <c r="A880"/>
      <c r="B880"/>
      <c r="C880"/>
      <c r="D880"/>
      <c r="E880" s="7"/>
    </row>
    <row r="881" spans="1:5">
      <c r="A881"/>
      <c r="B881"/>
      <c r="C881"/>
      <c r="D881"/>
      <c r="E881" s="7"/>
    </row>
    <row r="882" spans="1:5">
      <c r="A882"/>
      <c r="B882"/>
      <c r="C882"/>
      <c r="D882"/>
      <c r="E882" s="7"/>
    </row>
    <row r="883" spans="1:5">
      <c r="A883"/>
      <c r="B883"/>
      <c r="C883"/>
      <c r="D883"/>
      <c r="E883" s="7"/>
    </row>
    <row r="884" spans="1:5">
      <c r="A884"/>
      <c r="B884"/>
      <c r="C884"/>
      <c r="D884"/>
      <c r="E884" s="7"/>
    </row>
    <row r="885" spans="1:5">
      <c r="A885"/>
      <c r="B885"/>
      <c r="C885"/>
      <c r="D885"/>
      <c r="E885" s="7"/>
    </row>
    <row r="886" spans="1:5">
      <c r="A886"/>
      <c r="B886"/>
      <c r="C886"/>
      <c r="D886"/>
      <c r="E886" s="7"/>
    </row>
    <row r="887" spans="1:5">
      <c r="A887"/>
      <c r="B887"/>
      <c r="C887"/>
      <c r="D887"/>
      <c r="E887" s="7"/>
    </row>
    <row r="888" spans="1:5">
      <c r="A888"/>
      <c r="B888"/>
      <c r="C888"/>
      <c r="D888"/>
      <c r="E888" s="7"/>
    </row>
    <row r="889" spans="1:5">
      <c r="A889"/>
      <c r="B889"/>
      <c r="C889"/>
      <c r="D889"/>
      <c r="E889" s="7"/>
    </row>
    <row r="890" spans="1:5">
      <c r="A890"/>
      <c r="B890"/>
      <c r="C890"/>
      <c r="D890"/>
      <c r="E890" s="7"/>
    </row>
    <row r="891" spans="1:5">
      <c r="A891"/>
      <c r="B891"/>
      <c r="C891"/>
      <c r="D891"/>
      <c r="E891" s="7"/>
    </row>
    <row r="892" spans="1:5">
      <c r="A892"/>
      <c r="B892"/>
      <c r="C892"/>
      <c r="D892"/>
      <c r="E892" s="7"/>
    </row>
    <row r="893" spans="1:5">
      <c r="A893"/>
      <c r="B893"/>
      <c r="C893"/>
      <c r="D893"/>
      <c r="E893" s="7"/>
    </row>
    <row r="894" spans="1:5">
      <c r="A894"/>
      <c r="B894"/>
      <c r="C894"/>
      <c r="D894"/>
      <c r="E894" s="7"/>
    </row>
    <row r="895" spans="1:5">
      <c r="A895"/>
      <c r="B895"/>
      <c r="C895"/>
      <c r="D895"/>
      <c r="E895" s="7"/>
    </row>
    <row r="896" spans="1:5">
      <c r="A896"/>
      <c r="B896"/>
      <c r="C896"/>
      <c r="D896"/>
      <c r="E896" s="7"/>
    </row>
    <row r="897" spans="1:5">
      <c r="A897"/>
      <c r="B897"/>
      <c r="C897"/>
      <c r="D897"/>
      <c r="E897" s="7"/>
    </row>
    <row r="898" spans="1:5">
      <c r="A898"/>
      <c r="B898"/>
      <c r="C898"/>
      <c r="D898"/>
      <c r="E898" s="7"/>
    </row>
    <row r="899" spans="1:5">
      <c r="A899"/>
      <c r="B899"/>
      <c r="C899"/>
      <c r="D899"/>
      <c r="E899" s="7"/>
    </row>
    <row r="900" spans="1:5">
      <c r="A900"/>
      <c r="B900"/>
      <c r="C900"/>
      <c r="D900"/>
      <c r="E900" s="7"/>
    </row>
    <row r="901" spans="1:5">
      <c r="A901"/>
      <c r="B901"/>
      <c r="C901"/>
      <c r="D901"/>
      <c r="E901" s="7"/>
    </row>
    <row r="902" spans="1:5">
      <c r="A902"/>
      <c r="B902"/>
      <c r="C902"/>
      <c r="D902"/>
      <c r="E902" s="7"/>
    </row>
    <row r="903" spans="1:5">
      <c r="A903"/>
      <c r="B903"/>
      <c r="C903"/>
      <c r="D903"/>
      <c r="E903" s="7"/>
    </row>
    <row r="904" spans="1:5">
      <c r="A904"/>
      <c r="B904"/>
      <c r="C904"/>
      <c r="D904"/>
      <c r="E904" s="7"/>
    </row>
    <row r="905" spans="1:5">
      <c r="A905"/>
      <c r="B905"/>
      <c r="C905"/>
      <c r="D905"/>
      <c r="E905" s="7"/>
    </row>
    <row r="906" spans="1:5">
      <c r="A906"/>
      <c r="B906"/>
      <c r="C906"/>
      <c r="D906"/>
      <c r="E906" s="7"/>
    </row>
    <row r="907" spans="1:5">
      <c r="A907"/>
      <c r="B907"/>
      <c r="C907" s="89"/>
      <c r="D907"/>
      <c r="E907" s="7"/>
    </row>
    <row r="908" spans="1:5">
      <c r="A908"/>
      <c r="B908"/>
      <c r="C908"/>
      <c r="D908"/>
      <c r="E908" s="7"/>
    </row>
    <row r="909" spans="1:5">
      <c r="A909"/>
      <c r="B909"/>
      <c r="C909"/>
      <c r="D909"/>
      <c r="E909" s="7"/>
    </row>
    <row r="910" spans="1:5">
      <c r="A910"/>
      <c r="B910"/>
      <c r="C910"/>
      <c r="D910"/>
      <c r="E910" s="7"/>
    </row>
    <row r="911" spans="1:5">
      <c r="A911"/>
      <c r="B911"/>
      <c r="C911"/>
      <c r="D911"/>
      <c r="E911" s="7"/>
    </row>
    <row r="912" spans="1:5">
      <c r="A912"/>
      <c r="B912"/>
      <c r="C912"/>
      <c r="D912"/>
      <c r="E912" s="7"/>
    </row>
    <row r="913" spans="1:5">
      <c r="A913"/>
      <c r="B913"/>
      <c r="C913"/>
      <c r="D913"/>
      <c r="E913" s="7"/>
    </row>
    <row r="914" spans="1:5">
      <c r="D914" s="25"/>
    </row>
    <row r="915" spans="1:5">
      <c r="A915"/>
      <c r="B915"/>
      <c r="C915"/>
      <c r="D915"/>
      <c r="E915" s="7"/>
    </row>
    <row r="916" spans="1:5">
      <c r="A916"/>
      <c r="B916"/>
      <c r="C916"/>
      <c r="D916"/>
      <c r="E916" s="7"/>
    </row>
    <row r="917" spans="1:5">
      <c r="A917"/>
      <c r="B917"/>
      <c r="C917"/>
      <c r="D917"/>
      <c r="E917" s="7"/>
    </row>
    <row r="918" spans="1:5">
      <c r="A918"/>
      <c r="B918"/>
      <c r="C918"/>
      <c r="D918"/>
      <c r="E918" s="7"/>
    </row>
    <row r="919" spans="1:5">
      <c r="A919"/>
      <c r="B919"/>
      <c r="C919"/>
      <c r="D919"/>
      <c r="E919" s="7"/>
    </row>
    <row r="920" spans="1:5">
      <c r="A920"/>
      <c r="B920"/>
      <c r="C920"/>
      <c r="D920"/>
      <c r="E920" s="7"/>
    </row>
    <row r="921" spans="1:5">
      <c r="A921"/>
      <c r="B921"/>
      <c r="C921"/>
      <c r="D921"/>
      <c r="E921" s="7"/>
    </row>
    <row r="922" spans="1:5">
      <c r="A922"/>
      <c r="B922"/>
      <c r="C922"/>
      <c r="D922"/>
      <c r="E922" s="7"/>
    </row>
    <row r="923" spans="1:5">
      <c r="A923"/>
      <c r="B923"/>
      <c r="C923"/>
      <c r="D923"/>
      <c r="E923" s="7"/>
    </row>
    <row r="924" spans="1:5">
      <c r="A924"/>
      <c r="B924"/>
      <c r="C924"/>
      <c r="D924"/>
      <c r="E924" s="7"/>
    </row>
    <row r="925" spans="1:5">
      <c r="A925"/>
      <c r="B925"/>
      <c r="C925"/>
      <c r="D925"/>
      <c r="E925" s="7"/>
    </row>
    <row r="926" spans="1:5">
      <c r="A926"/>
      <c r="B926"/>
      <c r="C926"/>
      <c r="D926"/>
      <c r="E926" s="7"/>
    </row>
    <row r="927" spans="1:5">
      <c r="A927"/>
      <c r="B927"/>
      <c r="C927"/>
      <c r="D927"/>
      <c r="E927" s="7"/>
    </row>
    <row r="928" spans="1:5">
      <c r="A928"/>
      <c r="B928"/>
      <c r="C928"/>
      <c r="D928"/>
      <c r="E928" s="7"/>
    </row>
    <row r="929" spans="1:5">
      <c r="A929"/>
      <c r="B929"/>
      <c r="C929"/>
      <c r="D929"/>
      <c r="E929" s="7"/>
    </row>
    <row r="930" spans="1:5">
      <c r="A930"/>
      <c r="B930"/>
      <c r="C930"/>
      <c r="D930"/>
      <c r="E930" s="7"/>
    </row>
    <row r="931" spans="1:5">
      <c r="A931"/>
      <c r="B931"/>
      <c r="C931"/>
      <c r="D931"/>
      <c r="E931" s="7"/>
    </row>
    <row r="932" spans="1:5">
      <c r="A932"/>
      <c r="B932"/>
      <c r="C932"/>
      <c r="D932"/>
      <c r="E932" s="7"/>
    </row>
    <row r="933" spans="1:5">
      <c r="A933"/>
      <c r="B933"/>
      <c r="C933"/>
      <c r="D933"/>
      <c r="E933" s="7"/>
    </row>
    <row r="934" spans="1:5">
      <c r="A934"/>
      <c r="B934"/>
      <c r="C934"/>
      <c r="D934"/>
      <c r="E934" s="7"/>
    </row>
    <row r="935" spans="1:5">
      <c r="A935"/>
      <c r="B935"/>
      <c r="C935"/>
      <c r="D935"/>
      <c r="E935" s="7"/>
    </row>
    <row r="936" spans="1:5">
      <c r="A936"/>
      <c r="B936"/>
      <c r="C936"/>
      <c r="D936"/>
      <c r="E936" s="7"/>
    </row>
    <row r="937" spans="1:5">
      <c r="A937"/>
      <c r="B937"/>
      <c r="C937"/>
      <c r="D937"/>
      <c r="E937" s="7"/>
    </row>
    <row r="938" spans="1:5">
      <c r="A938"/>
      <c r="B938"/>
      <c r="C938"/>
      <c r="D938"/>
      <c r="E938" s="7"/>
    </row>
    <row r="939" spans="1:5">
      <c r="A939"/>
      <c r="B939"/>
      <c r="C939"/>
      <c r="D939"/>
      <c r="E939" s="7"/>
    </row>
    <row r="940" spans="1:5">
      <c r="A940"/>
      <c r="B940"/>
      <c r="C940"/>
      <c r="D940"/>
      <c r="E940" s="7"/>
    </row>
    <row r="941" spans="1:5">
      <c r="A941"/>
      <c r="B941"/>
      <c r="C941"/>
      <c r="D941"/>
      <c r="E941" s="7"/>
    </row>
    <row r="942" spans="1:5">
      <c r="A942"/>
      <c r="B942"/>
      <c r="C942"/>
      <c r="D942"/>
      <c r="E942" s="7"/>
    </row>
    <row r="943" spans="1:5">
      <c r="A943"/>
      <c r="B943"/>
      <c r="C943"/>
      <c r="D943"/>
      <c r="E943" s="7"/>
    </row>
    <row r="944" spans="1:5">
      <c r="A944"/>
      <c r="B944"/>
      <c r="C944"/>
      <c r="D944"/>
      <c r="E944" s="7"/>
    </row>
    <row r="945" spans="1:5">
      <c r="A945"/>
      <c r="B945"/>
      <c r="C945"/>
      <c r="D945"/>
      <c r="E945" s="7"/>
    </row>
    <row r="946" spans="1:5">
      <c r="A946"/>
      <c r="B946"/>
      <c r="C946"/>
      <c r="D946"/>
      <c r="E946" s="7"/>
    </row>
    <row r="947" spans="1:5">
      <c r="A947"/>
      <c r="B947"/>
      <c r="C947"/>
      <c r="D947"/>
      <c r="E947" s="7"/>
    </row>
    <row r="948" spans="1:5">
      <c r="A948"/>
      <c r="B948"/>
      <c r="C948"/>
      <c r="D948"/>
      <c r="E948" s="7"/>
    </row>
    <row r="949" spans="1:5">
      <c r="A949"/>
      <c r="B949"/>
      <c r="C949"/>
      <c r="D949"/>
      <c r="E949" s="7"/>
    </row>
    <row r="950" spans="1:5">
      <c r="A950"/>
      <c r="B950"/>
      <c r="C950"/>
      <c r="D950"/>
      <c r="E950" s="7"/>
    </row>
    <row r="951" spans="1:5">
      <c r="A951"/>
      <c r="B951"/>
      <c r="C951"/>
      <c r="D951"/>
      <c r="E951" s="7"/>
    </row>
    <row r="952" spans="1:5">
      <c r="A952"/>
      <c r="B952"/>
      <c r="C952"/>
      <c r="D952"/>
      <c r="E952" s="7"/>
    </row>
    <row r="953" spans="1:5">
      <c r="A953"/>
      <c r="B953"/>
      <c r="C953"/>
      <c r="D953"/>
      <c r="E953" s="7"/>
    </row>
    <row r="954" spans="1:5">
      <c r="A954"/>
      <c r="B954"/>
      <c r="C954"/>
      <c r="D954"/>
      <c r="E954" s="7"/>
    </row>
    <row r="955" spans="1:5">
      <c r="A955"/>
      <c r="B955"/>
      <c r="C955"/>
      <c r="D955"/>
      <c r="E955" s="7"/>
    </row>
    <row r="956" spans="1:5">
      <c r="A956"/>
      <c r="B956"/>
      <c r="C956"/>
      <c r="D956"/>
      <c r="E956" s="7"/>
    </row>
    <row r="957" spans="1:5">
      <c r="A957"/>
      <c r="B957"/>
      <c r="C957"/>
      <c r="D957"/>
      <c r="E957" s="7"/>
    </row>
    <row r="958" spans="1:5">
      <c r="A958"/>
      <c r="B958"/>
      <c r="C958"/>
      <c r="D958"/>
      <c r="E958" s="7"/>
    </row>
    <row r="959" spans="1:5">
      <c r="A959"/>
      <c r="B959"/>
      <c r="C959"/>
      <c r="D959"/>
      <c r="E959" s="7"/>
    </row>
    <row r="960" spans="1:5">
      <c r="A960"/>
      <c r="B960"/>
      <c r="C960"/>
      <c r="D960"/>
      <c r="E960" s="7"/>
    </row>
    <row r="961" spans="1:5">
      <c r="A961"/>
      <c r="B961"/>
      <c r="C961"/>
      <c r="D961"/>
      <c r="E961" s="7"/>
    </row>
    <row r="962" spans="1:5">
      <c r="A962"/>
      <c r="B962"/>
      <c r="C962"/>
      <c r="D962"/>
      <c r="E962" s="7"/>
    </row>
    <row r="963" spans="1:5">
      <c r="A963"/>
      <c r="B963"/>
      <c r="C963"/>
      <c r="D963"/>
      <c r="E963" s="7"/>
    </row>
    <row r="964" spans="1:5">
      <c r="A964"/>
      <c r="B964"/>
      <c r="C964"/>
      <c r="D964"/>
      <c r="E964" s="7"/>
    </row>
    <row r="965" spans="1:5">
      <c r="A965"/>
      <c r="B965"/>
      <c r="C965"/>
      <c r="D965"/>
      <c r="E965" s="7"/>
    </row>
    <row r="966" spans="1:5">
      <c r="A966"/>
      <c r="B966"/>
      <c r="C966"/>
      <c r="D966"/>
      <c r="E966" s="7"/>
    </row>
    <row r="967" spans="1:5">
      <c r="A967"/>
      <c r="B967"/>
      <c r="C967"/>
      <c r="D967"/>
      <c r="E967" s="7"/>
    </row>
    <row r="968" spans="1:5">
      <c r="A968"/>
      <c r="B968"/>
      <c r="C968"/>
      <c r="D968"/>
      <c r="E968" s="7"/>
    </row>
    <row r="969" spans="1:5">
      <c r="A969"/>
      <c r="B969"/>
      <c r="C969"/>
      <c r="D969"/>
      <c r="E969" s="7"/>
    </row>
    <row r="970" spans="1:5">
      <c r="A970"/>
      <c r="B970"/>
      <c r="C970"/>
      <c r="D970"/>
      <c r="E970" s="7"/>
    </row>
    <row r="971" spans="1:5">
      <c r="A971"/>
      <c r="B971"/>
      <c r="C971"/>
      <c r="D971"/>
      <c r="E971" s="7"/>
    </row>
    <row r="972" spans="1:5">
      <c r="A972"/>
      <c r="B972"/>
      <c r="C972"/>
      <c r="D972"/>
      <c r="E972" s="7"/>
    </row>
    <row r="973" spans="1:5">
      <c r="A973"/>
      <c r="B973"/>
      <c r="C973"/>
      <c r="D973"/>
      <c r="E973" s="7"/>
    </row>
    <row r="974" spans="1:5">
      <c r="A974"/>
      <c r="B974"/>
      <c r="C974"/>
      <c r="D974"/>
      <c r="E974" s="7"/>
    </row>
    <row r="975" spans="1:5">
      <c r="A975"/>
      <c r="B975"/>
      <c r="C975"/>
      <c r="D975"/>
      <c r="E975" s="7"/>
    </row>
    <row r="976" spans="1:5">
      <c r="A976"/>
      <c r="B976"/>
      <c r="C976"/>
      <c r="D976"/>
      <c r="E976" s="7"/>
    </row>
    <row r="977" spans="1:5">
      <c r="A977"/>
      <c r="B977"/>
      <c r="C977"/>
      <c r="D977"/>
      <c r="E977" s="7"/>
    </row>
    <row r="978" spans="1:5">
      <c r="A978"/>
      <c r="B978"/>
      <c r="C978"/>
      <c r="D978"/>
      <c r="E978" s="7"/>
    </row>
    <row r="979" spans="1:5">
      <c r="A979"/>
      <c r="B979"/>
      <c r="C979"/>
      <c r="D979"/>
      <c r="E979" s="7"/>
    </row>
    <row r="980" spans="1:5">
      <c r="A980"/>
      <c r="B980"/>
      <c r="C980"/>
      <c r="D980"/>
      <c r="E980" s="7"/>
    </row>
    <row r="981" spans="1:5">
      <c r="A981"/>
      <c r="B981"/>
      <c r="C981"/>
      <c r="D981"/>
      <c r="E981" s="7"/>
    </row>
    <row r="982" spans="1:5">
      <c r="A982"/>
      <c r="B982"/>
      <c r="C982"/>
      <c r="D982"/>
      <c r="E982" s="7"/>
    </row>
    <row r="983" spans="1:5">
      <c r="A983"/>
      <c r="B983"/>
      <c r="C983"/>
      <c r="D983"/>
      <c r="E983" s="7"/>
    </row>
    <row r="984" spans="1:5">
      <c r="A984"/>
      <c r="B984"/>
      <c r="C984"/>
      <c r="D984"/>
      <c r="E984" s="7"/>
    </row>
    <row r="985" spans="1:5">
      <c r="A985"/>
      <c r="B985"/>
      <c r="C985"/>
      <c r="D985"/>
      <c r="E985" s="7"/>
    </row>
    <row r="986" spans="1:5">
      <c r="A986"/>
      <c r="B986"/>
      <c r="C986"/>
      <c r="D986"/>
      <c r="E986" s="7"/>
    </row>
    <row r="987" spans="1:5">
      <c r="A987"/>
      <c r="B987"/>
      <c r="C987"/>
      <c r="D987"/>
      <c r="E987" s="7"/>
    </row>
    <row r="988" spans="1:5">
      <c r="A988"/>
      <c r="B988"/>
      <c r="C988"/>
      <c r="D988"/>
      <c r="E988" s="7"/>
    </row>
    <row r="989" spans="1:5">
      <c r="A989"/>
      <c r="B989"/>
      <c r="C989"/>
      <c r="D989"/>
      <c r="E989" s="7"/>
    </row>
    <row r="990" spans="1:5">
      <c r="A990"/>
      <c r="B990"/>
      <c r="C990"/>
      <c r="D990"/>
      <c r="E990" s="7"/>
    </row>
    <row r="991" spans="1:5">
      <c r="A991"/>
      <c r="B991"/>
      <c r="C991"/>
      <c r="D991"/>
      <c r="E991" s="7"/>
    </row>
    <row r="992" spans="1:5">
      <c r="A992"/>
      <c r="B992"/>
      <c r="C992"/>
      <c r="D992"/>
      <c r="E992" s="7"/>
    </row>
    <row r="993" spans="1:5">
      <c r="A993"/>
      <c r="B993"/>
      <c r="C993"/>
      <c r="D993"/>
      <c r="E993" s="7"/>
    </row>
    <row r="994" spans="1:5">
      <c r="A994"/>
      <c r="B994"/>
      <c r="C994"/>
      <c r="D994"/>
      <c r="E994" s="7"/>
    </row>
    <row r="995" spans="1:5">
      <c r="A995"/>
      <c r="B995"/>
      <c r="C995"/>
      <c r="D995"/>
      <c r="E995" s="7"/>
    </row>
    <row r="996" spans="1:5">
      <c r="A996"/>
      <c r="B996"/>
      <c r="C996"/>
      <c r="D996"/>
      <c r="E996" s="7"/>
    </row>
    <row r="997" spans="1:5">
      <c r="A997"/>
      <c r="B997"/>
      <c r="C997"/>
      <c r="D997"/>
      <c r="E997" s="7"/>
    </row>
    <row r="998" spans="1:5">
      <c r="A998"/>
      <c r="B998"/>
      <c r="C998"/>
      <c r="D998"/>
      <c r="E998" s="7"/>
    </row>
    <row r="999" spans="1:5">
      <c r="A999"/>
      <c r="B999"/>
      <c r="C999"/>
      <c r="D999"/>
      <c r="E999" s="7"/>
    </row>
    <row r="1000" spans="1:5">
      <c r="A1000"/>
      <c r="B1000"/>
      <c r="C1000"/>
      <c r="D1000"/>
      <c r="E1000" s="7"/>
    </row>
    <row r="1001" spans="1:5">
      <c r="A1001"/>
      <c r="B1001"/>
      <c r="C1001"/>
      <c r="D1001"/>
      <c r="E1001" s="7"/>
    </row>
    <row r="1002" spans="1:5">
      <c r="A1002"/>
      <c r="B1002"/>
      <c r="C1002"/>
      <c r="D1002"/>
      <c r="E1002" s="7"/>
    </row>
    <row r="1003" spans="1:5">
      <c r="A1003"/>
      <c r="B1003"/>
      <c r="C1003"/>
      <c r="D1003"/>
      <c r="E1003" s="7"/>
    </row>
    <row r="1004" spans="1:5">
      <c r="A1004"/>
      <c r="B1004"/>
      <c r="C1004"/>
      <c r="D1004"/>
      <c r="E1004" s="7"/>
    </row>
    <row r="1005" spans="1:5">
      <c r="A1005"/>
      <c r="B1005"/>
      <c r="C1005"/>
      <c r="D1005"/>
      <c r="E1005" s="7"/>
    </row>
    <row r="1006" spans="1:5">
      <c r="A1006"/>
      <c r="B1006"/>
      <c r="C1006"/>
      <c r="D1006"/>
      <c r="E1006" s="7"/>
    </row>
    <row r="1007" spans="1:5">
      <c r="A1007"/>
      <c r="B1007"/>
      <c r="C1007"/>
      <c r="D1007"/>
      <c r="E1007" s="7"/>
    </row>
    <row r="1008" spans="1:5">
      <c r="A1008"/>
      <c r="B1008"/>
      <c r="C1008"/>
      <c r="D1008"/>
      <c r="E1008" s="7"/>
    </row>
    <row r="1009" spans="1:5">
      <c r="A1009"/>
      <c r="B1009"/>
      <c r="C1009"/>
      <c r="D1009"/>
      <c r="E1009" s="7"/>
    </row>
    <row r="1010" spans="1:5">
      <c r="A1010"/>
      <c r="B1010"/>
      <c r="C1010"/>
      <c r="D1010"/>
      <c r="E1010" s="7"/>
    </row>
    <row r="1011" spans="1:5">
      <c r="A1011"/>
      <c r="B1011"/>
      <c r="C1011"/>
      <c r="D1011"/>
      <c r="E1011" s="7"/>
    </row>
    <row r="1012" spans="1:5">
      <c r="A1012"/>
      <c r="B1012"/>
      <c r="C1012"/>
      <c r="D1012"/>
      <c r="E1012" s="7"/>
    </row>
    <row r="1013" spans="1:5">
      <c r="A1013"/>
      <c r="B1013"/>
      <c r="C1013"/>
      <c r="D1013"/>
      <c r="E1013" s="7"/>
    </row>
    <row r="1014" spans="1:5">
      <c r="A1014"/>
      <c r="B1014"/>
      <c r="C1014"/>
      <c r="D1014"/>
      <c r="E1014" s="7"/>
    </row>
    <row r="1015" spans="1:5">
      <c r="A1015"/>
      <c r="B1015"/>
      <c r="C1015"/>
      <c r="D1015"/>
      <c r="E1015" s="7"/>
    </row>
    <row r="1016" spans="1:5">
      <c r="A1016"/>
      <c r="B1016"/>
      <c r="C1016"/>
      <c r="D1016"/>
      <c r="E1016" s="7"/>
    </row>
    <row r="1017" spans="1:5">
      <c r="A1017"/>
      <c r="B1017"/>
      <c r="C1017"/>
      <c r="D1017"/>
      <c r="E1017" s="7"/>
    </row>
    <row r="1018" spans="1:5">
      <c r="A1018"/>
      <c r="B1018"/>
      <c r="C1018"/>
      <c r="D1018"/>
      <c r="E1018" s="7"/>
    </row>
    <row r="1019" spans="1:5">
      <c r="A1019"/>
      <c r="B1019"/>
      <c r="C1019"/>
      <c r="D1019"/>
      <c r="E1019" s="7"/>
    </row>
    <row r="1020" spans="1:5">
      <c r="A1020"/>
      <c r="B1020"/>
      <c r="C1020"/>
      <c r="D1020"/>
      <c r="E1020" s="7"/>
    </row>
    <row r="1021" spans="1:5">
      <c r="A1021"/>
      <c r="B1021"/>
      <c r="C1021"/>
      <c r="D1021"/>
      <c r="E1021" s="7"/>
    </row>
    <row r="1022" spans="1:5">
      <c r="A1022"/>
      <c r="B1022"/>
      <c r="C1022"/>
      <c r="D1022"/>
      <c r="E1022" s="7"/>
    </row>
    <row r="1023" spans="1:5">
      <c r="A1023"/>
      <c r="B1023"/>
      <c r="C1023"/>
      <c r="D1023"/>
      <c r="E1023" s="7"/>
    </row>
    <row r="1024" spans="1:5">
      <c r="A1024"/>
      <c r="B1024"/>
      <c r="C1024"/>
      <c r="D1024"/>
      <c r="E1024" s="7"/>
    </row>
    <row r="1025" spans="1:5">
      <c r="A1025"/>
      <c r="B1025"/>
      <c r="C1025"/>
      <c r="D1025"/>
      <c r="E1025" s="7"/>
    </row>
    <row r="1026" spans="1:5">
      <c r="A1026"/>
      <c r="B1026"/>
      <c r="C1026"/>
      <c r="D1026"/>
      <c r="E1026" s="7"/>
    </row>
    <row r="1027" spans="1:5">
      <c r="A1027"/>
      <c r="B1027"/>
      <c r="C1027"/>
      <c r="D1027"/>
      <c r="E1027" s="7"/>
    </row>
    <row r="1028" spans="1:5">
      <c r="A1028"/>
      <c r="B1028"/>
      <c r="C1028"/>
      <c r="D1028"/>
      <c r="E1028" s="7"/>
    </row>
    <row r="1029" spans="1:5">
      <c r="A1029"/>
      <c r="B1029"/>
      <c r="C1029"/>
      <c r="D1029"/>
      <c r="E1029" s="7"/>
    </row>
    <row r="1030" spans="1:5">
      <c r="A1030"/>
      <c r="B1030"/>
      <c r="C1030"/>
      <c r="D1030"/>
      <c r="E1030" s="7"/>
    </row>
    <row r="1031" spans="1:5">
      <c r="A1031"/>
      <c r="B1031"/>
      <c r="C1031"/>
      <c r="D1031"/>
      <c r="E1031" s="7"/>
    </row>
    <row r="1032" spans="1:5">
      <c r="A1032"/>
      <c r="B1032"/>
      <c r="C1032"/>
      <c r="D1032"/>
      <c r="E1032" s="7"/>
    </row>
    <row r="1033" spans="1:5">
      <c r="A1033"/>
      <c r="B1033"/>
      <c r="C1033"/>
      <c r="D1033"/>
      <c r="E1033" s="7"/>
    </row>
    <row r="1034" spans="1:5">
      <c r="A1034"/>
      <c r="B1034"/>
      <c r="C1034"/>
      <c r="D1034"/>
      <c r="E1034" s="7"/>
    </row>
    <row r="1035" spans="1:5">
      <c r="A1035"/>
      <c r="B1035"/>
      <c r="C1035"/>
      <c r="D1035"/>
      <c r="E1035" s="7"/>
    </row>
    <row r="1036" spans="1:5">
      <c r="A1036"/>
      <c r="B1036"/>
      <c r="C1036"/>
      <c r="D1036"/>
      <c r="E1036" s="7"/>
    </row>
    <row r="1037" spans="1:5">
      <c r="A1037"/>
      <c r="B1037"/>
      <c r="C1037"/>
      <c r="D1037"/>
      <c r="E1037" s="7"/>
    </row>
    <row r="1038" spans="1:5">
      <c r="A1038"/>
      <c r="B1038"/>
      <c r="C1038"/>
      <c r="D1038"/>
      <c r="E1038" s="7"/>
    </row>
    <row r="1039" spans="1:5">
      <c r="A1039"/>
      <c r="B1039"/>
      <c r="C1039"/>
      <c r="D1039"/>
      <c r="E1039" s="7"/>
    </row>
    <row r="1040" spans="1:5">
      <c r="A1040"/>
      <c r="B1040"/>
      <c r="C1040"/>
      <c r="D1040"/>
      <c r="E1040" s="7"/>
    </row>
    <row r="1041" spans="1:5">
      <c r="A1041"/>
      <c r="B1041"/>
      <c r="C1041"/>
      <c r="D1041"/>
      <c r="E1041" s="7"/>
    </row>
    <row r="1042" spans="1:5">
      <c r="A1042"/>
      <c r="B1042"/>
      <c r="C1042" s="96"/>
      <c r="D1042"/>
      <c r="E1042"/>
    </row>
    <row r="1043" spans="1:5">
      <c r="A1043"/>
      <c r="B1043"/>
      <c r="C1043"/>
      <c r="D1043"/>
      <c r="E1043" s="7"/>
    </row>
    <row r="1044" spans="1:5">
      <c r="A1044"/>
      <c r="B1044"/>
      <c r="C1044"/>
      <c r="D1044"/>
      <c r="E1044" s="7"/>
    </row>
    <row r="1045" spans="1:5">
      <c r="A1045"/>
      <c r="B1045"/>
      <c r="C1045"/>
      <c r="D1045"/>
      <c r="E1045" s="7"/>
    </row>
    <row r="1046" spans="1:5">
      <c r="A1046"/>
      <c r="B1046"/>
      <c r="C1046"/>
      <c r="D1046"/>
      <c r="E1046" s="7"/>
    </row>
    <row r="1047" spans="1:5">
      <c r="A1047"/>
      <c r="B1047"/>
      <c r="C1047"/>
      <c r="D1047"/>
      <c r="E1047" s="7"/>
    </row>
    <row r="1048" spans="1:5">
      <c r="A1048"/>
      <c r="B1048"/>
      <c r="C1048"/>
      <c r="D1048"/>
      <c r="E1048" s="7"/>
    </row>
    <row r="1049" spans="1:5">
      <c r="A1049"/>
      <c r="B1049"/>
      <c r="C1049"/>
      <c r="D1049"/>
      <c r="E1049" s="7"/>
    </row>
    <row r="1050" spans="1:5">
      <c r="A1050"/>
      <c r="B1050"/>
      <c r="C1050"/>
      <c r="D1050"/>
      <c r="E1050" s="7"/>
    </row>
    <row r="1051" spans="1:5">
      <c r="A1051"/>
      <c r="B1051"/>
      <c r="C1051"/>
      <c r="D1051"/>
      <c r="E1051" s="7"/>
    </row>
    <row r="1052" spans="1:5">
      <c r="A1052"/>
      <c r="B1052"/>
      <c r="C1052"/>
      <c r="D1052"/>
      <c r="E1052" s="7"/>
    </row>
    <row r="1053" spans="1:5">
      <c r="A1053"/>
      <c r="B1053"/>
      <c r="C1053"/>
      <c r="D1053"/>
      <c r="E1053" s="7"/>
    </row>
    <row r="1054" spans="1:5">
      <c r="A1054"/>
      <c r="B1054"/>
      <c r="C1054"/>
      <c r="D1054"/>
      <c r="E1054" s="7"/>
    </row>
    <row r="1055" spans="1:5">
      <c r="A1055"/>
      <c r="B1055"/>
      <c r="C1055"/>
      <c r="D1055"/>
      <c r="E1055" s="7"/>
    </row>
    <row r="1056" spans="1:5">
      <c r="A1056"/>
      <c r="B1056"/>
      <c r="C1056"/>
      <c r="D1056"/>
      <c r="E1056" s="7"/>
    </row>
    <row r="1057" spans="1:4">
      <c r="A1057"/>
      <c r="B1057"/>
      <c r="C1057"/>
      <c r="D1057"/>
    </row>
    <row r="1058" spans="1:4">
      <c r="A1058"/>
      <c r="B1058"/>
      <c r="C1058"/>
    </row>
  </sheetData>
  <sortState xmlns:xlrd2="http://schemas.microsoft.com/office/spreadsheetml/2017/richdata2" ref="A2:E1190">
    <sortCondition ref="E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9"/>
  <dimension ref="A1:E391"/>
  <sheetViews>
    <sheetView workbookViewId="0">
      <selection activeCell="C1" sqref="C1"/>
    </sheetView>
  </sheetViews>
  <sheetFormatPr defaultColWidth="11.07421875" defaultRowHeight="14.6"/>
  <cols>
    <col min="1" max="2" width="39.53515625" bestFit="1" customWidth="1"/>
    <col min="3" max="3" width="44.53515625" bestFit="1" customWidth="1"/>
    <col min="4" max="4" width="8.15234375" bestFit="1" customWidth="1"/>
    <col min="5" max="5" width="14.69140625" bestFit="1" customWidth="1"/>
    <col min="6" max="6" width="10.3828125" bestFit="1" customWidth="1"/>
  </cols>
  <sheetData>
    <row r="1" spans="1:5" s="101" customFormat="1">
      <c r="A1" s="101" t="s">
        <v>2</v>
      </c>
      <c r="B1" s="101" t="s">
        <v>16</v>
      </c>
      <c r="C1" s="101" t="s">
        <v>180</v>
      </c>
      <c r="D1" s="101" t="s">
        <v>181</v>
      </c>
      <c r="E1" s="101" t="s">
        <v>185</v>
      </c>
    </row>
    <row r="2" spans="1:5">
      <c r="E2" s="7"/>
    </row>
    <row r="3" spans="1:5">
      <c r="E3" s="7"/>
    </row>
    <row r="4" spans="1:5">
      <c r="E4" s="7"/>
    </row>
    <row r="5" spans="1:5">
      <c r="E5" s="7"/>
    </row>
    <row r="6" spans="1:5">
      <c r="E6" s="7"/>
    </row>
    <row r="7" spans="1:5">
      <c r="E7" s="7"/>
    </row>
    <row r="8" spans="1:5">
      <c r="E8" s="7"/>
    </row>
    <row r="9" spans="1:5">
      <c r="E9" s="7"/>
    </row>
    <row r="10" spans="1:5">
      <c r="E10" s="7"/>
    </row>
    <row r="11" spans="1:5">
      <c r="E11" s="7"/>
    </row>
    <row r="13" spans="1:5">
      <c r="E13" s="7"/>
    </row>
    <row r="14" spans="1:5">
      <c r="E14" s="7"/>
    </row>
    <row r="15" spans="1:5">
      <c r="E15" s="7"/>
    </row>
    <row r="16" spans="1:5">
      <c r="E16" s="7"/>
    </row>
    <row r="17" spans="5:5">
      <c r="E17" s="7"/>
    </row>
    <row r="18" spans="5:5">
      <c r="E18" s="7"/>
    </row>
    <row r="19" spans="5:5">
      <c r="E19" s="7"/>
    </row>
    <row r="20" spans="5:5">
      <c r="E20" s="7"/>
    </row>
    <row r="21" spans="5:5">
      <c r="E21" s="7"/>
    </row>
    <row r="22" spans="5:5">
      <c r="E22" s="7"/>
    </row>
    <row r="23" spans="5:5">
      <c r="E23" s="7"/>
    </row>
    <row r="24" spans="5:5">
      <c r="E24" s="7"/>
    </row>
    <row r="25" spans="5:5">
      <c r="E25" s="7"/>
    </row>
    <row r="26" spans="5:5">
      <c r="E26" s="7"/>
    </row>
    <row r="27" spans="5:5">
      <c r="E27" s="7"/>
    </row>
    <row r="28" spans="5:5">
      <c r="E28" s="7"/>
    </row>
    <row r="29" spans="5:5">
      <c r="E29" s="7"/>
    </row>
    <row r="30" spans="5:5">
      <c r="E30" s="7"/>
    </row>
    <row r="31" spans="5:5">
      <c r="E31" s="7"/>
    </row>
    <row r="32" spans="5:5">
      <c r="E32" s="7"/>
    </row>
    <row r="33" spans="5:5">
      <c r="E33" s="7"/>
    </row>
    <row r="34" spans="5:5">
      <c r="E34" s="7"/>
    </row>
    <row r="35" spans="5:5">
      <c r="E35" s="7"/>
    </row>
    <row r="36" spans="5:5">
      <c r="E36" s="7"/>
    </row>
    <row r="37" spans="5:5">
      <c r="E37" s="7"/>
    </row>
    <row r="38" spans="5:5">
      <c r="E38" s="7"/>
    </row>
    <row r="39" spans="5:5">
      <c r="E39" s="7"/>
    </row>
    <row r="40" spans="5:5">
      <c r="E40" s="7"/>
    </row>
    <row r="41" spans="5:5">
      <c r="E41" s="7"/>
    </row>
    <row r="42" spans="5:5">
      <c r="E42" s="7"/>
    </row>
    <row r="43" spans="5:5">
      <c r="E43" s="7"/>
    </row>
    <row r="44" spans="5:5">
      <c r="E44" s="7"/>
    </row>
    <row r="45" spans="5:5">
      <c r="E45" s="7"/>
    </row>
    <row r="46" spans="5:5">
      <c r="E46" s="7"/>
    </row>
    <row r="47" spans="5:5">
      <c r="E47" s="7"/>
    </row>
    <row r="48" spans="5:5">
      <c r="E48" s="7"/>
    </row>
    <row r="49" spans="5:5">
      <c r="E49" s="7"/>
    </row>
    <row r="50" spans="5:5">
      <c r="E50" s="7"/>
    </row>
    <row r="51" spans="5:5">
      <c r="E51" s="7"/>
    </row>
    <row r="52" spans="5:5">
      <c r="E52" s="7"/>
    </row>
    <row r="53" spans="5:5">
      <c r="E53" s="7"/>
    </row>
    <row r="54" spans="5:5">
      <c r="E54" s="7"/>
    </row>
    <row r="55" spans="5:5">
      <c r="E55" s="7"/>
    </row>
    <row r="56" spans="5:5">
      <c r="E56" s="7"/>
    </row>
    <row r="57" spans="5:5">
      <c r="E57" s="7"/>
    </row>
    <row r="58" spans="5:5">
      <c r="E58" s="7"/>
    </row>
    <row r="59" spans="5:5">
      <c r="E59" s="7"/>
    </row>
    <row r="60" spans="5:5">
      <c r="E60" s="7"/>
    </row>
    <row r="61" spans="5:5">
      <c r="E61" s="7"/>
    </row>
    <row r="62" spans="5:5">
      <c r="E62" s="7"/>
    </row>
    <row r="63" spans="5:5">
      <c r="E63" s="7"/>
    </row>
    <row r="64" spans="5:5">
      <c r="E64" s="7"/>
    </row>
    <row r="65" spans="5:5">
      <c r="E65" s="7"/>
    </row>
    <row r="66" spans="5:5">
      <c r="E66" s="7"/>
    </row>
    <row r="67" spans="5:5">
      <c r="E67" s="7"/>
    </row>
    <row r="68" spans="5:5">
      <c r="E68" s="7"/>
    </row>
    <row r="69" spans="5:5">
      <c r="E69" s="7"/>
    </row>
    <row r="70" spans="5:5">
      <c r="E70" s="7"/>
    </row>
    <row r="71" spans="5:5">
      <c r="E71" s="7"/>
    </row>
    <row r="72" spans="5:5">
      <c r="E72" s="7"/>
    </row>
    <row r="73" spans="5:5">
      <c r="E73" s="7"/>
    </row>
    <row r="74" spans="5:5">
      <c r="E74" s="7"/>
    </row>
    <row r="75" spans="5:5">
      <c r="E75" s="7"/>
    </row>
    <row r="76" spans="5:5">
      <c r="E76" s="7"/>
    </row>
    <row r="77" spans="5:5">
      <c r="E77" s="7"/>
    </row>
    <row r="78" spans="5:5">
      <c r="E78" s="7"/>
    </row>
    <row r="79" spans="5:5">
      <c r="E79" s="7"/>
    </row>
    <row r="80" spans="5:5">
      <c r="E80" s="7"/>
    </row>
    <row r="81" spans="5:5">
      <c r="E81" s="7"/>
    </row>
    <row r="82" spans="5:5">
      <c r="E82" s="7"/>
    </row>
    <row r="83" spans="5:5">
      <c r="E83" s="7"/>
    </row>
    <row r="84" spans="5:5">
      <c r="E84" s="7"/>
    </row>
    <row r="85" spans="5:5">
      <c r="E85" s="7"/>
    </row>
    <row r="86" spans="5:5">
      <c r="E86" s="7"/>
    </row>
    <row r="87" spans="5:5">
      <c r="E87" s="7"/>
    </row>
    <row r="88" spans="5:5">
      <c r="E88" s="7"/>
    </row>
    <row r="89" spans="5:5">
      <c r="E89" s="7"/>
    </row>
    <row r="90" spans="5:5">
      <c r="E90" s="7"/>
    </row>
    <row r="91" spans="5:5">
      <c r="E91" s="7"/>
    </row>
    <row r="92" spans="5:5">
      <c r="E92" s="7"/>
    </row>
    <row r="93" spans="5:5">
      <c r="E93" s="7"/>
    </row>
    <row r="94" spans="5:5">
      <c r="E94" s="7"/>
    </row>
    <row r="95" spans="5:5">
      <c r="E95" s="7"/>
    </row>
    <row r="96" spans="5:5">
      <c r="E96" s="7"/>
    </row>
    <row r="97" spans="5:5">
      <c r="E97" s="7"/>
    </row>
    <row r="98" spans="5:5">
      <c r="E98" s="7"/>
    </row>
    <row r="99" spans="5:5">
      <c r="E99" s="7"/>
    </row>
    <row r="100" spans="5:5">
      <c r="E100" s="7"/>
    </row>
    <row r="101" spans="5:5">
      <c r="E101" s="7"/>
    </row>
    <row r="102" spans="5:5">
      <c r="E102" s="7"/>
    </row>
    <row r="103" spans="5:5">
      <c r="E103" s="7"/>
    </row>
    <row r="105" spans="5:5">
      <c r="E105" s="7"/>
    </row>
    <row r="106" spans="5:5">
      <c r="E106" s="7"/>
    </row>
    <row r="107" spans="5:5">
      <c r="E107" s="7"/>
    </row>
    <row r="108" spans="5:5">
      <c r="E108" s="7"/>
    </row>
    <row r="109" spans="5:5">
      <c r="E109" s="7"/>
    </row>
    <row r="110" spans="5:5">
      <c r="E110" s="7"/>
    </row>
    <row r="111" spans="5:5">
      <c r="E111" s="7"/>
    </row>
    <row r="112" spans="5:5">
      <c r="E112" s="7"/>
    </row>
    <row r="113" spans="5:5">
      <c r="E113" s="7"/>
    </row>
    <row r="114" spans="5:5">
      <c r="E114" s="7"/>
    </row>
    <row r="115" spans="5:5">
      <c r="E115" s="7"/>
    </row>
    <row r="116" spans="5:5">
      <c r="E116" s="7"/>
    </row>
    <row r="117" spans="5:5">
      <c r="E117" s="7"/>
    </row>
    <row r="118" spans="5:5">
      <c r="E118" s="7"/>
    </row>
    <row r="119" spans="5:5">
      <c r="E119" s="7"/>
    </row>
    <row r="120" spans="5:5">
      <c r="E120" s="7"/>
    </row>
    <row r="121" spans="5:5">
      <c r="E121" s="7"/>
    </row>
    <row r="122" spans="5:5">
      <c r="E122" s="7"/>
    </row>
    <row r="123" spans="5:5">
      <c r="E123" s="7"/>
    </row>
    <row r="124" spans="5:5">
      <c r="E124" s="7"/>
    </row>
    <row r="125" spans="5:5">
      <c r="E125" s="7"/>
    </row>
    <row r="126" spans="5:5">
      <c r="E126" s="7"/>
    </row>
    <row r="127" spans="5:5">
      <c r="E127" s="7"/>
    </row>
    <row r="128" spans="5:5">
      <c r="E128" s="7"/>
    </row>
    <row r="129" spans="5:5">
      <c r="E129" s="7"/>
    </row>
    <row r="130" spans="5:5">
      <c r="E130" s="7"/>
    </row>
    <row r="131" spans="5:5">
      <c r="E131" s="7"/>
    </row>
    <row r="132" spans="5:5">
      <c r="E132" s="7"/>
    </row>
    <row r="133" spans="5:5">
      <c r="E133" s="7"/>
    </row>
    <row r="134" spans="5:5">
      <c r="E134" s="7"/>
    </row>
    <row r="135" spans="5:5">
      <c r="E135" s="7"/>
    </row>
    <row r="136" spans="5:5">
      <c r="E136" s="7"/>
    </row>
    <row r="137" spans="5:5">
      <c r="E137" s="7"/>
    </row>
    <row r="138" spans="5:5">
      <c r="E138" s="7"/>
    </row>
    <row r="139" spans="5:5">
      <c r="E139" s="7"/>
    </row>
    <row r="140" spans="5:5">
      <c r="E140" s="7"/>
    </row>
    <row r="141" spans="5:5">
      <c r="E141" s="7"/>
    </row>
    <row r="142" spans="5:5">
      <c r="E142" s="7"/>
    </row>
    <row r="143" spans="5:5">
      <c r="E143" s="7"/>
    </row>
    <row r="144" spans="5:5">
      <c r="E144" s="7"/>
    </row>
    <row r="145" spans="2:5">
      <c r="E145" s="7"/>
    </row>
    <row r="146" spans="2:5">
      <c r="E146" s="7"/>
    </row>
    <row r="147" spans="2:5">
      <c r="E147" s="7"/>
    </row>
    <row r="148" spans="2:5">
      <c r="E148" s="7"/>
    </row>
    <row r="149" spans="2:5">
      <c r="B149" s="6"/>
      <c r="E149" s="7"/>
    </row>
    <row r="150" spans="2:5">
      <c r="E150" s="7"/>
    </row>
    <row r="151" spans="2:5">
      <c r="E151" s="7"/>
    </row>
    <row r="152" spans="2:5">
      <c r="E152" s="7"/>
    </row>
    <row r="153" spans="2:5">
      <c r="E153" s="7"/>
    </row>
    <row r="154" spans="2:5">
      <c r="E154" s="7"/>
    </row>
    <row r="155" spans="2:5">
      <c r="E155" s="7"/>
    </row>
    <row r="156" spans="2:5">
      <c r="E156" s="7"/>
    </row>
    <row r="158" spans="2:5">
      <c r="E158" s="7"/>
    </row>
    <row r="159" spans="2:5">
      <c r="E159" s="7"/>
    </row>
    <row r="160" spans="2:5">
      <c r="E160" s="7"/>
    </row>
    <row r="162" spans="5:5">
      <c r="E162" s="7"/>
    </row>
    <row r="163" spans="5:5">
      <c r="E163" s="7"/>
    </row>
    <row r="164" spans="5:5">
      <c r="E164" s="7"/>
    </row>
    <row r="165" spans="5:5">
      <c r="E165" s="7"/>
    </row>
    <row r="166" spans="5:5">
      <c r="E166" s="7"/>
    </row>
    <row r="167" spans="5:5">
      <c r="E167" s="7"/>
    </row>
    <row r="168" spans="5:5">
      <c r="E168" s="7"/>
    </row>
    <row r="169" spans="5:5">
      <c r="E169" s="7"/>
    </row>
    <row r="170" spans="5:5">
      <c r="E170" s="7"/>
    </row>
    <row r="171" spans="5:5">
      <c r="E171" s="7"/>
    </row>
    <row r="172" spans="5:5">
      <c r="E172" s="7"/>
    </row>
    <row r="173" spans="5:5">
      <c r="E173" s="7"/>
    </row>
    <row r="174" spans="5:5">
      <c r="E174" s="7"/>
    </row>
    <row r="175" spans="5:5">
      <c r="E175" s="7"/>
    </row>
    <row r="176" spans="5:5">
      <c r="E176" s="7"/>
    </row>
    <row r="177" spans="5:5">
      <c r="E177" s="7"/>
    </row>
    <row r="178" spans="5:5">
      <c r="E178" s="7"/>
    </row>
    <row r="179" spans="5:5">
      <c r="E179" s="7"/>
    </row>
    <row r="180" spans="5:5">
      <c r="E180" s="7"/>
    </row>
    <row r="181" spans="5:5">
      <c r="E181" s="7"/>
    </row>
    <row r="182" spans="5:5">
      <c r="E182" s="7"/>
    </row>
    <row r="183" spans="5:5">
      <c r="E183" s="7"/>
    </row>
    <row r="184" spans="5:5">
      <c r="E184" s="7"/>
    </row>
    <row r="185" spans="5:5">
      <c r="E185" s="7"/>
    </row>
    <row r="186" spans="5:5">
      <c r="E186" s="7"/>
    </row>
    <row r="187" spans="5:5">
      <c r="E187" s="7"/>
    </row>
    <row r="188" spans="5:5">
      <c r="E188" s="7"/>
    </row>
    <row r="189" spans="5:5">
      <c r="E189" s="7"/>
    </row>
    <row r="190" spans="5:5">
      <c r="E190" s="7"/>
    </row>
    <row r="191" spans="5:5">
      <c r="E191" s="7"/>
    </row>
    <row r="192" spans="5:5">
      <c r="E192" s="7"/>
    </row>
    <row r="193" spans="5:5">
      <c r="E193" s="7"/>
    </row>
    <row r="194" spans="5:5">
      <c r="E194" s="7"/>
    </row>
    <row r="195" spans="5:5">
      <c r="E195" s="7"/>
    </row>
    <row r="196" spans="5:5">
      <c r="E196" s="7"/>
    </row>
    <row r="197" spans="5:5">
      <c r="E197" s="7"/>
    </row>
    <row r="198" spans="5:5">
      <c r="E198" s="7"/>
    </row>
    <row r="199" spans="5:5">
      <c r="E199" s="7"/>
    </row>
    <row r="200" spans="5:5">
      <c r="E200" s="7"/>
    </row>
    <row r="201" spans="5:5">
      <c r="E201" s="7"/>
    </row>
    <row r="202" spans="5:5">
      <c r="E202" s="7"/>
    </row>
    <row r="203" spans="5:5">
      <c r="E203" s="7"/>
    </row>
    <row r="204" spans="5:5">
      <c r="E204" s="7"/>
    </row>
    <row r="205" spans="5:5">
      <c r="E205" s="7"/>
    </row>
    <row r="206" spans="5:5">
      <c r="E206" s="7"/>
    </row>
    <row r="207" spans="5:5">
      <c r="E207" s="7"/>
    </row>
    <row r="208" spans="5:5">
      <c r="E208" s="7"/>
    </row>
    <row r="209" spans="5:5">
      <c r="E209" s="7"/>
    </row>
    <row r="210" spans="5:5">
      <c r="E210" s="7"/>
    </row>
    <row r="211" spans="5:5">
      <c r="E211" s="7"/>
    </row>
    <row r="212" spans="5:5">
      <c r="E212" s="7"/>
    </row>
    <row r="213" spans="5:5">
      <c r="E213" s="7"/>
    </row>
    <row r="214" spans="5:5">
      <c r="E214" s="7"/>
    </row>
    <row r="215" spans="5:5">
      <c r="E215" s="7"/>
    </row>
    <row r="216" spans="5:5">
      <c r="E216" s="7"/>
    </row>
    <row r="217" spans="5:5">
      <c r="E217" s="7"/>
    </row>
    <row r="218" spans="5:5">
      <c r="E218" s="7"/>
    </row>
    <row r="219" spans="5:5">
      <c r="E219" s="7"/>
    </row>
    <row r="220" spans="5:5">
      <c r="E220" s="7"/>
    </row>
    <row r="221" spans="5:5">
      <c r="E221" s="7"/>
    </row>
    <row r="222" spans="5:5">
      <c r="E222" s="7"/>
    </row>
    <row r="223" spans="5:5">
      <c r="E223" s="7"/>
    </row>
    <row r="224" spans="5:5">
      <c r="E224" s="7"/>
    </row>
    <row r="225" spans="5:5">
      <c r="E225" s="7"/>
    </row>
    <row r="226" spans="5:5">
      <c r="E226" s="7"/>
    </row>
    <row r="227" spans="5:5">
      <c r="E227" s="7"/>
    </row>
    <row r="228" spans="5:5">
      <c r="E228" s="7"/>
    </row>
    <row r="229" spans="5:5">
      <c r="E229" s="7"/>
    </row>
    <row r="230" spans="5:5">
      <c r="E230" s="7"/>
    </row>
    <row r="231" spans="5:5">
      <c r="E231" s="7"/>
    </row>
    <row r="232" spans="5:5">
      <c r="E232" s="7"/>
    </row>
    <row r="233" spans="5:5">
      <c r="E233" s="7"/>
    </row>
    <row r="234" spans="5:5">
      <c r="E234" s="7"/>
    </row>
    <row r="235" spans="5:5">
      <c r="E235" s="7"/>
    </row>
    <row r="236" spans="5:5">
      <c r="E236" s="7"/>
    </row>
    <row r="237" spans="5:5">
      <c r="E237" s="7"/>
    </row>
    <row r="238" spans="5:5">
      <c r="E238" s="7"/>
    </row>
    <row r="239" spans="5:5">
      <c r="E239" s="7"/>
    </row>
    <row r="240" spans="5:5">
      <c r="E240" s="7"/>
    </row>
    <row r="241" spans="5:5">
      <c r="E241" s="7"/>
    </row>
    <row r="242" spans="5:5">
      <c r="E242" s="7"/>
    </row>
    <row r="243" spans="5:5">
      <c r="E243" s="7"/>
    </row>
    <row r="244" spans="5:5">
      <c r="E244" s="7"/>
    </row>
    <row r="245" spans="5:5">
      <c r="E245" s="7"/>
    </row>
    <row r="246" spans="5:5">
      <c r="E246" s="7"/>
    </row>
    <row r="248" spans="5:5">
      <c r="E248" s="7"/>
    </row>
    <row r="249" spans="5:5">
      <c r="E249" s="7"/>
    </row>
    <row r="250" spans="5:5">
      <c r="E250" s="7"/>
    </row>
    <row r="251" spans="5:5">
      <c r="E251" s="7"/>
    </row>
    <row r="252" spans="5:5">
      <c r="E252" s="7"/>
    </row>
    <row r="253" spans="5:5">
      <c r="E253" s="7"/>
    </row>
    <row r="254" spans="5:5">
      <c r="E254" s="7"/>
    </row>
    <row r="255" spans="5:5">
      <c r="E255" s="7"/>
    </row>
    <row r="256" spans="5:5">
      <c r="E256" s="7"/>
    </row>
    <row r="257" spans="5:5">
      <c r="E257" s="7"/>
    </row>
    <row r="258" spans="5:5">
      <c r="E258" s="7"/>
    </row>
    <row r="259" spans="5:5">
      <c r="E259" s="7"/>
    </row>
    <row r="260" spans="5:5">
      <c r="E260" s="7"/>
    </row>
    <row r="261" spans="5:5">
      <c r="E261" s="7"/>
    </row>
    <row r="262" spans="5:5">
      <c r="E262" s="7"/>
    </row>
    <row r="263" spans="5:5">
      <c r="E263" s="7"/>
    </row>
    <row r="264" spans="5:5">
      <c r="E264" s="7"/>
    </row>
    <row r="265" spans="5:5">
      <c r="E265" s="7"/>
    </row>
    <row r="266" spans="5:5">
      <c r="E266" s="7"/>
    </row>
    <row r="268" spans="5:5">
      <c r="E268" s="7"/>
    </row>
    <row r="269" spans="5:5">
      <c r="E269" s="7"/>
    </row>
    <row r="270" spans="5:5">
      <c r="E270" s="7"/>
    </row>
    <row r="271" spans="5:5">
      <c r="E271" s="7"/>
    </row>
    <row r="272" spans="5:5">
      <c r="E272" s="7"/>
    </row>
    <row r="273" spans="5:5">
      <c r="E273" s="7"/>
    </row>
    <row r="274" spans="5:5">
      <c r="E274" s="7"/>
    </row>
    <row r="275" spans="5:5">
      <c r="E275" s="7"/>
    </row>
    <row r="276" spans="5:5">
      <c r="E276" s="7"/>
    </row>
    <row r="277" spans="5:5">
      <c r="E277" s="7"/>
    </row>
    <row r="278" spans="5:5">
      <c r="E278" s="7"/>
    </row>
    <row r="279" spans="5:5">
      <c r="E279" s="7"/>
    </row>
    <row r="280" spans="5:5">
      <c r="E280" s="7"/>
    </row>
    <row r="281" spans="5:5">
      <c r="E281" s="7"/>
    </row>
    <row r="282" spans="5:5">
      <c r="E282" s="7"/>
    </row>
    <row r="283" spans="5:5">
      <c r="E283" s="7"/>
    </row>
    <row r="284" spans="5:5">
      <c r="E284" s="7"/>
    </row>
    <row r="285" spans="5:5">
      <c r="E285" s="7"/>
    </row>
    <row r="286" spans="5:5">
      <c r="E286" s="7"/>
    </row>
    <row r="287" spans="5:5">
      <c r="E287" s="7"/>
    </row>
    <row r="288" spans="5:5">
      <c r="E288" s="7"/>
    </row>
    <row r="289" spans="5:5">
      <c r="E289" s="7"/>
    </row>
    <row r="290" spans="5:5">
      <c r="E290" s="7"/>
    </row>
    <row r="291" spans="5:5">
      <c r="E291" s="7"/>
    </row>
    <row r="292" spans="5:5">
      <c r="E292" s="7"/>
    </row>
    <row r="293" spans="5:5">
      <c r="E293" s="7"/>
    </row>
    <row r="294" spans="5:5">
      <c r="E294" s="7"/>
    </row>
    <row r="295" spans="5:5">
      <c r="E295" s="7"/>
    </row>
    <row r="296" spans="5:5">
      <c r="E296" s="7"/>
    </row>
    <row r="297" spans="5:5">
      <c r="E297" s="7"/>
    </row>
    <row r="298" spans="5:5">
      <c r="E298" s="7"/>
    </row>
    <row r="299" spans="5:5">
      <c r="E299" s="7"/>
    </row>
    <row r="300" spans="5:5">
      <c r="E300" s="7"/>
    </row>
    <row r="301" spans="5:5">
      <c r="E301" s="7"/>
    </row>
    <row r="302" spans="5:5">
      <c r="E302" s="7"/>
    </row>
    <row r="303" spans="5:5">
      <c r="E303" s="7"/>
    </row>
    <row r="304" spans="5:5">
      <c r="E304" s="7"/>
    </row>
    <row r="305" spans="5:5">
      <c r="E305" s="7"/>
    </row>
    <row r="306" spans="5:5">
      <c r="E306" s="7"/>
    </row>
    <row r="307" spans="5:5">
      <c r="E307" s="7"/>
    </row>
    <row r="308" spans="5:5">
      <c r="E308" s="7"/>
    </row>
    <row r="309" spans="5:5">
      <c r="E309" s="7"/>
    </row>
    <row r="310" spans="5:5">
      <c r="E310" s="7"/>
    </row>
    <row r="311" spans="5:5">
      <c r="E311" s="7"/>
    </row>
    <row r="312" spans="5:5">
      <c r="E312" s="7"/>
    </row>
    <row r="313" spans="5:5">
      <c r="E313" s="7"/>
    </row>
    <row r="314" spans="5:5">
      <c r="E314" s="7"/>
    </row>
    <row r="315" spans="5:5">
      <c r="E315" s="7"/>
    </row>
    <row r="316" spans="5:5">
      <c r="E316" s="7"/>
    </row>
    <row r="317" spans="5:5">
      <c r="E317" s="7"/>
    </row>
    <row r="318" spans="5:5">
      <c r="E318" s="7"/>
    </row>
    <row r="319" spans="5:5">
      <c r="E319" s="7"/>
    </row>
    <row r="321" spans="5:5">
      <c r="E321" s="7"/>
    </row>
    <row r="322" spans="5:5">
      <c r="E322" s="7"/>
    </row>
    <row r="323" spans="5:5">
      <c r="E323" s="7"/>
    </row>
    <row r="324" spans="5:5">
      <c r="E324" s="7"/>
    </row>
    <row r="325" spans="5:5">
      <c r="E325" s="7"/>
    </row>
    <row r="326" spans="5:5">
      <c r="E326" s="7"/>
    </row>
    <row r="327" spans="5:5">
      <c r="E327" s="7"/>
    </row>
    <row r="329" spans="5:5">
      <c r="E329" s="7"/>
    </row>
    <row r="330" spans="5:5">
      <c r="E330" s="7"/>
    </row>
    <row r="331" spans="5:5">
      <c r="E331" s="7"/>
    </row>
    <row r="332" spans="5:5">
      <c r="E332" s="7"/>
    </row>
    <row r="333" spans="5:5">
      <c r="E333" s="7"/>
    </row>
    <row r="334" spans="5:5">
      <c r="E334" s="7"/>
    </row>
    <row r="335" spans="5:5">
      <c r="E335" s="7"/>
    </row>
    <row r="336" spans="5:5">
      <c r="E336" s="7"/>
    </row>
    <row r="337" spans="5:5">
      <c r="E337" s="7"/>
    </row>
    <row r="338" spans="5:5">
      <c r="E338" s="7"/>
    </row>
    <row r="339" spans="5:5">
      <c r="E339" s="7"/>
    </row>
    <row r="340" spans="5:5">
      <c r="E340" s="7"/>
    </row>
    <row r="341" spans="5:5">
      <c r="E341" s="7"/>
    </row>
    <row r="342" spans="5:5">
      <c r="E342" s="7"/>
    </row>
    <row r="343" spans="5:5">
      <c r="E343" s="7"/>
    </row>
    <row r="344" spans="5:5">
      <c r="E344" s="7"/>
    </row>
    <row r="345" spans="5:5">
      <c r="E345" s="7"/>
    </row>
    <row r="346" spans="5:5">
      <c r="E346" s="7"/>
    </row>
    <row r="347" spans="5:5">
      <c r="E347" s="7"/>
    </row>
    <row r="348" spans="5:5">
      <c r="E348" s="7"/>
    </row>
    <row r="349" spans="5:5">
      <c r="E349" s="7"/>
    </row>
    <row r="350" spans="5:5">
      <c r="E350" s="7"/>
    </row>
    <row r="351" spans="5:5">
      <c r="E351" s="7"/>
    </row>
    <row r="352" spans="5:5">
      <c r="E352" s="7"/>
    </row>
    <row r="353" spans="5:5">
      <c r="E353" s="7"/>
    </row>
    <row r="354" spans="5:5">
      <c r="E354" s="7"/>
    </row>
    <row r="355" spans="5:5">
      <c r="E355" s="7"/>
    </row>
    <row r="356" spans="5:5">
      <c r="E356" s="7"/>
    </row>
    <row r="357" spans="5:5">
      <c r="E357" s="7"/>
    </row>
    <row r="358" spans="5:5">
      <c r="E358" s="7"/>
    </row>
    <row r="359" spans="5:5">
      <c r="E359" s="7"/>
    </row>
    <row r="360" spans="5:5">
      <c r="E360" s="7"/>
    </row>
    <row r="361" spans="5:5">
      <c r="E361" s="7"/>
    </row>
    <row r="362" spans="5:5">
      <c r="E362" s="7"/>
    </row>
    <row r="363" spans="5:5">
      <c r="E363" s="7"/>
    </row>
    <row r="364" spans="5:5">
      <c r="E364" s="7"/>
    </row>
    <row r="365" spans="5:5">
      <c r="E365" s="7"/>
    </row>
    <row r="366" spans="5:5">
      <c r="E366" s="7"/>
    </row>
    <row r="367" spans="5:5">
      <c r="E367" s="7"/>
    </row>
    <row r="368" spans="5:5">
      <c r="E368" s="7"/>
    </row>
    <row r="369" spans="5:5">
      <c r="E369" s="7"/>
    </row>
    <row r="370" spans="5:5">
      <c r="E370" s="7"/>
    </row>
    <row r="371" spans="5:5">
      <c r="E371" s="7"/>
    </row>
    <row r="372" spans="5:5">
      <c r="E372" s="7"/>
    </row>
    <row r="373" spans="5:5">
      <c r="E373" s="7"/>
    </row>
    <row r="374" spans="5:5">
      <c r="E374" s="7"/>
    </row>
    <row r="375" spans="5:5">
      <c r="E375" s="7"/>
    </row>
    <row r="376" spans="5:5">
      <c r="E376" s="7"/>
    </row>
    <row r="377" spans="5:5">
      <c r="E377" s="7"/>
    </row>
    <row r="378" spans="5:5">
      <c r="E378" s="7"/>
    </row>
    <row r="379" spans="5:5">
      <c r="E379" s="7"/>
    </row>
    <row r="380" spans="5:5">
      <c r="E380" s="7"/>
    </row>
    <row r="381" spans="5:5">
      <c r="E381" s="7"/>
    </row>
    <row r="382" spans="5:5">
      <c r="E382" s="7"/>
    </row>
    <row r="383" spans="5:5">
      <c r="E383" s="7"/>
    </row>
    <row r="384" spans="5:5">
      <c r="E384" s="7"/>
    </row>
    <row r="385" spans="5:5">
      <c r="E385" s="7"/>
    </row>
    <row r="386" spans="5:5">
      <c r="E386" s="7"/>
    </row>
    <row r="387" spans="5:5">
      <c r="E387" s="7"/>
    </row>
    <row r="388" spans="5:5">
      <c r="E388" s="7"/>
    </row>
    <row r="389" spans="5:5">
      <c r="E389" s="7"/>
    </row>
    <row r="390" spans="5:5">
      <c r="E390" s="7"/>
    </row>
    <row r="391" spans="5:5">
      <c r="E391" s="7"/>
    </row>
  </sheetData>
  <sortState xmlns:xlrd2="http://schemas.microsoft.com/office/spreadsheetml/2017/richdata2" ref="A2:E393">
    <sortCondition ref="C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G428"/>
  <sheetViews>
    <sheetView zoomScaleNormal="100" workbookViewId="0">
      <selection activeCell="C1" sqref="C1"/>
    </sheetView>
  </sheetViews>
  <sheetFormatPr defaultColWidth="11.07421875" defaultRowHeight="14.6"/>
  <cols>
    <col min="1" max="2" width="39.53515625" bestFit="1" customWidth="1"/>
    <col min="3" max="3" width="44.53515625" bestFit="1" customWidth="1"/>
    <col min="4" max="4" width="8.15234375" bestFit="1" customWidth="1"/>
    <col min="5" max="5" width="14.69140625" style="7" bestFit="1" customWidth="1"/>
    <col min="6" max="6" width="29.84375" bestFit="1" customWidth="1"/>
    <col min="7" max="7" width="10.69140625" style="92" bestFit="1" customWidth="1"/>
  </cols>
  <sheetData>
    <row r="1" spans="1:7" s="101" customFormat="1">
      <c r="A1" s="101" t="s">
        <v>2</v>
      </c>
      <c r="B1" s="101" t="s">
        <v>16</v>
      </c>
      <c r="C1" s="101" t="s">
        <v>180</v>
      </c>
      <c r="D1" s="101" t="s">
        <v>181</v>
      </c>
      <c r="E1" s="102" t="s">
        <v>185</v>
      </c>
      <c r="G1" s="92"/>
    </row>
    <row r="2" spans="1:7">
      <c r="A2" s="101"/>
      <c r="B2" s="101"/>
      <c r="C2" s="101"/>
      <c r="D2" s="101"/>
      <c r="E2" s="102"/>
    </row>
    <row r="3" spans="1:7">
      <c r="A3" s="101"/>
      <c r="B3" s="101"/>
      <c r="C3" s="101"/>
      <c r="D3" s="101"/>
      <c r="E3" s="102"/>
    </row>
    <row r="4" spans="1:7">
      <c r="A4" s="101"/>
      <c r="B4" s="101"/>
      <c r="C4" s="101"/>
      <c r="D4" s="101"/>
      <c r="E4" s="102"/>
    </row>
    <row r="5" spans="1:7">
      <c r="A5" s="101"/>
      <c r="B5" s="101"/>
      <c r="C5" s="101"/>
      <c r="D5" s="101"/>
      <c r="E5" s="102"/>
    </row>
    <row r="6" spans="1:7">
      <c r="A6" s="101"/>
      <c r="B6" s="101"/>
      <c r="C6" s="101"/>
      <c r="D6" s="101"/>
      <c r="E6" s="102"/>
    </row>
    <row r="7" spans="1:7">
      <c r="A7" s="101"/>
      <c r="B7" s="101"/>
      <c r="C7" s="101"/>
      <c r="D7" s="101"/>
      <c r="E7" s="102"/>
    </row>
    <row r="8" spans="1:7">
      <c r="A8" s="101"/>
      <c r="B8" s="101"/>
      <c r="C8" s="101"/>
      <c r="D8" s="101"/>
      <c r="E8" s="102"/>
    </row>
    <row r="9" spans="1:7">
      <c r="A9" s="101"/>
      <c r="B9" s="101"/>
      <c r="C9" s="101"/>
      <c r="D9" s="101"/>
      <c r="E9" s="102"/>
    </row>
    <row r="10" spans="1:7">
      <c r="A10" s="101"/>
      <c r="B10" s="101"/>
      <c r="C10" s="101"/>
      <c r="D10" s="101"/>
      <c r="E10" s="102"/>
    </row>
    <row r="11" spans="1:7">
      <c r="A11" s="101"/>
      <c r="B11" s="101"/>
      <c r="C11" s="101"/>
      <c r="D11" s="101"/>
      <c r="E11" s="102"/>
    </row>
    <row r="12" spans="1:7">
      <c r="A12" s="101"/>
      <c r="B12" s="101"/>
      <c r="C12" s="101"/>
      <c r="D12" s="101"/>
      <c r="E12" s="102"/>
    </row>
    <row r="13" spans="1:7">
      <c r="A13" s="101"/>
      <c r="B13" s="101"/>
      <c r="C13" s="101"/>
      <c r="D13" s="101"/>
      <c r="E13" s="102"/>
    </row>
    <row r="14" spans="1:7">
      <c r="A14" s="101"/>
      <c r="B14" s="101"/>
      <c r="C14" s="101"/>
      <c r="D14" s="101"/>
      <c r="E14" s="102"/>
    </row>
    <row r="15" spans="1:7">
      <c r="A15" s="101"/>
      <c r="B15" s="101"/>
      <c r="C15" s="101"/>
      <c r="D15" s="101"/>
      <c r="E15" s="102"/>
    </row>
    <row r="16" spans="1:7">
      <c r="A16" s="101"/>
      <c r="B16" s="101"/>
      <c r="C16" s="101"/>
      <c r="D16" s="101"/>
      <c r="E16" s="102"/>
    </row>
    <row r="17" spans="1:5">
      <c r="A17" s="101"/>
      <c r="B17" s="101"/>
      <c r="C17" s="101"/>
      <c r="D17" s="101"/>
      <c r="E17" s="102"/>
    </row>
    <row r="18" spans="1:5">
      <c r="A18" s="101"/>
      <c r="B18" s="101"/>
      <c r="C18" s="101"/>
      <c r="D18" s="101"/>
      <c r="E18" s="102"/>
    </row>
    <row r="19" spans="1:5">
      <c r="A19" s="101"/>
      <c r="B19" s="101"/>
      <c r="C19" s="101"/>
      <c r="D19" s="101"/>
      <c r="E19" s="102"/>
    </row>
    <row r="20" spans="1:5">
      <c r="A20" s="101"/>
      <c r="B20" s="101"/>
      <c r="C20" s="101"/>
      <c r="D20" s="101"/>
      <c r="E20" s="102"/>
    </row>
    <row r="21" spans="1:5">
      <c r="A21" s="101"/>
      <c r="B21" s="101"/>
      <c r="C21" s="101"/>
      <c r="D21" s="101"/>
      <c r="E21" s="102"/>
    </row>
    <row r="22" spans="1:5">
      <c r="A22" s="101"/>
      <c r="B22" s="101"/>
      <c r="C22" s="101"/>
      <c r="D22" s="101"/>
      <c r="E22" s="102"/>
    </row>
    <row r="23" spans="1:5">
      <c r="A23" s="101"/>
      <c r="B23" s="101"/>
      <c r="C23" s="101"/>
      <c r="D23" s="101"/>
      <c r="E23" s="102"/>
    </row>
    <row r="24" spans="1:5">
      <c r="A24" s="101"/>
      <c r="B24" s="101"/>
      <c r="C24" s="101"/>
      <c r="D24" s="101"/>
      <c r="E24" s="102"/>
    </row>
    <row r="25" spans="1:5">
      <c r="A25" s="101"/>
      <c r="B25" s="101"/>
      <c r="C25" s="101"/>
      <c r="D25" s="101"/>
      <c r="E25" s="102"/>
    </row>
    <row r="26" spans="1:5">
      <c r="A26" s="101"/>
      <c r="B26" s="101"/>
      <c r="C26" s="101"/>
      <c r="D26" s="101"/>
      <c r="E26" s="102"/>
    </row>
    <row r="27" spans="1:5">
      <c r="A27" s="101"/>
      <c r="B27" s="101"/>
      <c r="C27" s="101"/>
      <c r="D27" s="101"/>
      <c r="E27" s="102"/>
    </row>
    <row r="28" spans="1:5">
      <c r="A28" s="101"/>
      <c r="B28" s="101"/>
      <c r="C28" s="101"/>
      <c r="D28" s="101"/>
      <c r="E28" s="102"/>
    </row>
    <row r="29" spans="1:5">
      <c r="A29" s="101"/>
      <c r="B29" s="101"/>
      <c r="C29" s="101"/>
      <c r="D29" s="101"/>
      <c r="E29" s="102"/>
    </row>
    <row r="30" spans="1:5">
      <c r="A30" s="101"/>
      <c r="B30" s="101"/>
      <c r="C30" s="101"/>
      <c r="D30" s="101"/>
      <c r="E30" s="102"/>
    </row>
    <row r="31" spans="1:5">
      <c r="A31" s="101"/>
      <c r="B31" s="101"/>
      <c r="C31" s="101"/>
      <c r="D31" s="101"/>
      <c r="E31" s="102"/>
    </row>
    <row r="32" spans="1:5">
      <c r="A32" s="101"/>
      <c r="B32" s="101"/>
      <c r="C32" s="101"/>
      <c r="D32" s="101"/>
      <c r="E32" s="102"/>
    </row>
    <row r="33" spans="1:5">
      <c r="A33" s="101"/>
      <c r="B33" s="101"/>
      <c r="C33" s="101"/>
      <c r="D33" s="101"/>
      <c r="E33" s="102"/>
    </row>
    <row r="34" spans="1:5">
      <c r="A34" s="101"/>
      <c r="B34" s="101"/>
      <c r="C34" s="101"/>
      <c r="D34" s="101"/>
      <c r="E34" s="102"/>
    </row>
    <row r="35" spans="1:5">
      <c r="A35" s="101"/>
      <c r="B35" s="101"/>
      <c r="C35" s="101"/>
      <c r="D35" s="101"/>
      <c r="E35" s="102"/>
    </row>
    <row r="36" spans="1:5">
      <c r="A36" s="101"/>
      <c r="B36" s="101"/>
      <c r="C36" s="101"/>
      <c r="D36" s="101"/>
      <c r="E36" s="102"/>
    </row>
    <row r="37" spans="1:5">
      <c r="A37" s="101"/>
      <c r="B37" s="101"/>
      <c r="C37" s="101"/>
      <c r="D37" s="101"/>
      <c r="E37" s="102"/>
    </row>
    <row r="38" spans="1:5">
      <c r="A38" s="101"/>
      <c r="B38" s="101"/>
      <c r="C38" s="101"/>
      <c r="D38" s="101"/>
      <c r="E38" s="102"/>
    </row>
    <row r="39" spans="1:5">
      <c r="A39" s="101"/>
      <c r="B39" s="101"/>
      <c r="C39" s="101"/>
      <c r="D39" s="101"/>
      <c r="E39" s="102"/>
    </row>
    <row r="40" spans="1:5">
      <c r="A40" s="101"/>
      <c r="B40" s="101"/>
      <c r="C40" s="101"/>
      <c r="D40" s="101"/>
      <c r="E40" s="102"/>
    </row>
    <row r="41" spans="1:5">
      <c r="A41" s="101"/>
      <c r="B41" s="101"/>
      <c r="C41" s="101"/>
      <c r="D41" s="101"/>
      <c r="E41" s="102"/>
    </row>
    <row r="42" spans="1:5">
      <c r="A42" s="101"/>
      <c r="B42" s="101"/>
      <c r="C42" s="101"/>
      <c r="D42" s="101"/>
      <c r="E42" s="102"/>
    </row>
    <row r="43" spans="1:5">
      <c r="A43" s="101"/>
      <c r="B43" s="101"/>
      <c r="C43" s="101"/>
      <c r="D43" s="101"/>
      <c r="E43" s="102"/>
    </row>
    <row r="44" spans="1:5">
      <c r="A44" s="101"/>
      <c r="B44" s="101"/>
      <c r="C44" s="101"/>
      <c r="D44" s="101"/>
      <c r="E44" s="102"/>
    </row>
    <row r="45" spans="1:5">
      <c r="A45" s="101"/>
      <c r="B45" s="101"/>
      <c r="C45" s="101"/>
      <c r="D45" s="101"/>
      <c r="E45" s="102"/>
    </row>
    <row r="46" spans="1:5">
      <c r="A46" s="101"/>
      <c r="B46" s="101"/>
      <c r="C46" s="101"/>
      <c r="D46" s="101"/>
      <c r="E46" s="102"/>
    </row>
    <row r="47" spans="1:5">
      <c r="A47" s="101"/>
      <c r="B47" s="101"/>
      <c r="C47" s="101"/>
      <c r="D47" s="101"/>
      <c r="E47" s="102"/>
    </row>
    <row r="48" spans="1:5">
      <c r="A48" s="101"/>
      <c r="B48" s="101"/>
      <c r="C48" s="101"/>
      <c r="D48" s="101"/>
      <c r="E48" s="102"/>
    </row>
    <row r="49" spans="1:5">
      <c r="A49" s="101"/>
      <c r="B49" s="101"/>
      <c r="C49" s="101"/>
      <c r="D49" s="101"/>
      <c r="E49" s="102"/>
    </row>
    <row r="50" spans="1:5">
      <c r="A50" s="101"/>
      <c r="B50" s="101"/>
      <c r="C50" s="101"/>
      <c r="D50" s="101"/>
      <c r="E50" s="102"/>
    </row>
    <row r="51" spans="1:5">
      <c r="A51" s="101"/>
      <c r="B51" s="101"/>
      <c r="C51" s="101"/>
      <c r="D51" s="101"/>
      <c r="E51" s="102"/>
    </row>
    <row r="52" spans="1:5">
      <c r="A52" s="101"/>
      <c r="B52" s="101"/>
      <c r="C52" s="101"/>
      <c r="D52" s="101"/>
      <c r="E52" s="102"/>
    </row>
    <row r="53" spans="1:5">
      <c r="A53" s="101"/>
      <c r="B53" s="101"/>
      <c r="C53" s="101"/>
      <c r="D53" s="101"/>
      <c r="E53" s="102"/>
    </row>
    <row r="54" spans="1:5">
      <c r="A54" s="101"/>
      <c r="B54" s="101"/>
      <c r="C54" s="101"/>
      <c r="D54" s="101"/>
      <c r="E54" s="102"/>
    </row>
    <row r="55" spans="1:5">
      <c r="A55" s="101"/>
      <c r="B55" s="101"/>
      <c r="C55" s="101"/>
      <c r="D55" s="101"/>
      <c r="E55" s="102"/>
    </row>
    <row r="56" spans="1:5">
      <c r="A56" s="101"/>
      <c r="B56" s="101"/>
      <c r="C56" s="101"/>
      <c r="D56" s="101"/>
      <c r="E56" s="102"/>
    </row>
    <row r="57" spans="1:5">
      <c r="A57" s="101"/>
      <c r="B57" s="101"/>
      <c r="C57" s="101"/>
      <c r="D57" s="101"/>
      <c r="E57" s="102"/>
    </row>
    <row r="58" spans="1:5">
      <c r="A58" s="101"/>
      <c r="B58" s="101"/>
      <c r="C58" s="101"/>
      <c r="D58" s="101"/>
      <c r="E58" s="102"/>
    </row>
    <row r="59" spans="1:5">
      <c r="A59" s="101"/>
      <c r="B59" s="101"/>
      <c r="C59" s="101"/>
      <c r="D59" s="101"/>
      <c r="E59" s="102"/>
    </row>
    <row r="60" spans="1:5">
      <c r="A60" s="101"/>
      <c r="B60" s="101"/>
      <c r="C60" s="101"/>
      <c r="D60" s="101"/>
      <c r="E60" s="102"/>
    </row>
    <row r="61" spans="1:5">
      <c r="A61" s="101"/>
      <c r="B61" s="101"/>
      <c r="C61" s="101"/>
      <c r="D61" s="101"/>
      <c r="E61" s="102"/>
    </row>
    <row r="62" spans="1:5">
      <c r="A62" s="101"/>
      <c r="B62" s="101"/>
      <c r="C62" s="101"/>
      <c r="D62" s="101"/>
      <c r="E62" s="102"/>
    </row>
    <row r="63" spans="1:5">
      <c r="A63" s="101"/>
      <c r="B63" s="101"/>
      <c r="C63" s="101"/>
      <c r="D63" s="101"/>
      <c r="E63" s="102"/>
    </row>
    <row r="64" spans="1:5">
      <c r="A64" s="101"/>
      <c r="B64" s="101"/>
      <c r="C64" s="101"/>
      <c r="D64" s="101"/>
      <c r="E64" s="102"/>
    </row>
    <row r="65" spans="1:5">
      <c r="A65" s="101"/>
      <c r="B65" s="101"/>
      <c r="C65" s="101"/>
      <c r="D65" s="101"/>
      <c r="E65" s="102"/>
    </row>
    <row r="66" spans="1:5">
      <c r="A66" s="101"/>
      <c r="B66" s="101"/>
      <c r="C66" s="101"/>
      <c r="D66" s="101"/>
      <c r="E66" s="102"/>
    </row>
    <row r="67" spans="1:5">
      <c r="A67" s="101"/>
      <c r="B67" s="101"/>
      <c r="C67" s="101"/>
      <c r="D67" s="101"/>
      <c r="E67" s="102"/>
    </row>
    <row r="68" spans="1:5">
      <c r="A68" s="101"/>
      <c r="B68" s="101"/>
      <c r="C68" s="101"/>
      <c r="D68" s="101"/>
      <c r="E68" s="102"/>
    </row>
    <row r="69" spans="1:5">
      <c r="A69" s="101"/>
      <c r="B69" s="101"/>
      <c r="C69" s="101"/>
      <c r="D69" s="101"/>
      <c r="E69" s="102"/>
    </row>
    <row r="70" spans="1:5">
      <c r="A70" s="101"/>
      <c r="B70" s="101"/>
      <c r="C70" s="101"/>
      <c r="D70" s="101"/>
      <c r="E70" s="102"/>
    </row>
    <row r="71" spans="1:5">
      <c r="A71" s="101"/>
      <c r="B71" s="101"/>
      <c r="C71" s="101"/>
      <c r="D71" s="101"/>
      <c r="E71" s="102"/>
    </row>
    <row r="72" spans="1:5">
      <c r="A72" s="101"/>
      <c r="B72" s="101"/>
      <c r="C72" s="101"/>
      <c r="D72" s="101"/>
      <c r="E72" s="102"/>
    </row>
    <row r="73" spans="1:5">
      <c r="A73" s="101"/>
      <c r="B73" s="101"/>
      <c r="C73" s="101"/>
      <c r="D73" s="101"/>
      <c r="E73" s="102"/>
    </row>
    <row r="74" spans="1:5">
      <c r="A74" s="101"/>
      <c r="B74" s="101"/>
      <c r="C74" s="101"/>
      <c r="D74" s="101"/>
      <c r="E74" s="102"/>
    </row>
    <row r="75" spans="1:5">
      <c r="A75" s="101"/>
      <c r="B75" s="101"/>
      <c r="C75" s="101"/>
      <c r="D75" s="101"/>
      <c r="E75" s="102"/>
    </row>
    <row r="76" spans="1:5">
      <c r="A76" s="101"/>
      <c r="B76" s="101"/>
      <c r="C76" s="101"/>
      <c r="D76" s="101"/>
      <c r="E76" s="102"/>
    </row>
    <row r="77" spans="1:5">
      <c r="A77" s="101"/>
      <c r="B77" s="101"/>
      <c r="C77" s="101"/>
      <c r="D77" s="101"/>
      <c r="E77" s="102"/>
    </row>
    <row r="78" spans="1:5">
      <c r="A78" s="101"/>
      <c r="B78" s="101"/>
      <c r="C78" s="101"/>
      <c r="D78" s="101"/>
      <c r="E78" s="102"/>
    </row>
    <row r="79" spans="1:5">
      <c r="A79" s="101"/>
      <c r="B79" s="101"/>
      <c r="C79" s="101"/>
      <c r="D79" s="101"/>
      <c r="E79" s="102"/>
    </row>
    <row r="80" spans="1:5">
      <c r="A80" s="101"/>
      <c r="B80" s="101"/>
      <c r="C80" s="101"/>
      <c r="D80" s="101"/>
      <c r="E80" s="102"/>
    </row>
    <row r="81" spans="1:5">
      <c r="A81" s="101"/>
      <c r="B81" s="101"/>
      <c r="C81" s="101"/>
      <c r="D81" s="101"/>
      <c r="E81" s="102"/>
    </row>
    <row r="82" spans="1:5">
      <c r="A82" s="101"/>
      <c r="B82" s="101"/>
      <c r="C82" s="101"/>
      <c r="D82" s="101"/>
      <c r="E82" s="102"/>
    </row>
    <row r="83" spans="1:5">
      <c r="A83" s="101"/>
      <c r="B83" s="101"/>
      <c r="C83" s="101"/>
      <c r="D83" s="101"/>
      <c r="E83" s="102"/>
    </row>
    <row r="84" spans="1:5">
      <c r="A84" s="101"/>
      <c r="B84" s="101"/>
      <c r="C84" s="101"/>
      <c r="D84" s="101"/>
      <c r="E84" s="102"/>
    </row>
    <row r="85" spans="1:5">
      <c r="A85" s="101"/>
      <c r="B85" s="101"/>
      <c r="C85" s="101"/>
      <c r="D85" s="101"/>
      <c r="E85" s="102"/>
    </row>
    <row r="86" spans="1:5">
      <c r="A86" s="101"/>
      <c r="B86" s="101"/>
      <c r="C86" s="101"/>
      <c r="D86" s="101"/>
      <c r="E86" s="102"/>
    </row>
    <row r="87" spans="1:5">
      <c r="A87" s="101"/>
      <c r="B87" s="101"/>
      <c r="C87" s="101"/>
      <c r="D87" s="101"/>
      <c r="E87" s="102"/>
    </row>
    <row r="88" spans="1:5">
      <c r="A88" s="101"/>
      <c r="B88" s="101"/>
      <c r="C88" s="101"/>
      <c r="D88" s="101"/>
      <c r="E88" s="102"/>
    </row>
    <row r="89" spans="1:5">
      <c r="A89" s="101"/>
      <c r="B89" s="101"/>
      <c r="C89" s="101"/>
      <c r="D89" s="101"/>
      <c r="E89" s="102"/>
    </row>
    <row r="90" spans="1:5">
      <c r="A90" s="101"/>
      <c r="B90" s="101"/>
      <c r="C90" s="101"/>
      <c r="D90" s="101"/>
      <c r="E90" s="102"/>
    </row>
    <row r="91" spans="1:5">
      <c r="A91" s="101"/>
      <c r="B91" s="101"/>
      <c r="C91" s="101"/>
      <c r="D91" s="101"/>
      <c r="E91" s="102"/>
    </row>
    <row r="92" spans="1:5">
      <c r="A92" s="101"/>
      <c r="B92" s="101"/>
      <c r="C92" s="101"/>
      <c r="D92" s="101"/>
      <c r="E92" s="102"/>
    </row>
    <row r="93" spans="1:5">
      <c r="A93" s="101"/>
      <c r="B93" s="101"/>
      <c r="C93" s="101"/>
      <c r="D93" s="101"/>
      <c r="E93" s="102"/>
    </row>
    <row r="94" spans="1:5">
      <c r="A94" s="101"/>
      <c r="B94" s="101"/>
      <c r="C94" s="101"/>
      <c r="D94" s="101"/>
      <c r="E94" s="102"/>
    </row>
    <row r="95" spans="1:5">
      <c r="A95" s="101"/>
      <c r="B95" s="101"/>
      <c r="C95" s="101"/>
      <c r="D95" s="101"/>
      <c r="E95" s="102"/>
    </row>
    <row r="96" spans="1:5">
      <c r="A96" s="101"/>
      <c r="B96" s="101"/>
      <c r="C96" s="101"/>
      <c r="D96" s="101"/>
      <c r="E96" s="102"/>
    </row>
    <row r="97" spans="1:5">
      <c r="A97" s="101"/>
      <c r="B97" s="101"/>
      <c r="C97" s="101"/>
      <c r="D97" s="101"/>
      <c r="E97" s="102"/>
    </row>
    <row r="98" spans="1:5">
      <c r="A98" s="101"/>
      <c r="B98" s="101"/>
      <c r="C98" s="101"/>
      <c r="D98" s="101"/>
      <c r="E98" s="102"/>
    </row>
    <row r="99" spans="1:5">
      <c r="A99" s="101"/>
      <c r="B99" s="101"/>
      <c r="C99" s="101"/>
      <c r="D99" s="101"/>
      <c r="E99" s="102"/>
    </row>
    <row r="100" spans="1:5">
      <c r="A100" s="101"/>
      <c r="B100" s="101"/>
      <c r="C100" s="101"/>
      <c r="D100" s="101"/>
      <c r="E100" s="102"/>
    </row>
    <row r="101" spans="1:5">
      <c r="A101" s="101"/>
      <c r="B101" s="101"/>
      <c r="C101" s="101"/>
      <c r="D101" s="101"/>
      <c r="E101" s="102"/>
    </row>
    <row r="102" spans="1:5">
      <c r="A102" s="101"/>
      <c r="B102" s="101"/>
      <c r="C102" s="101"/>
      <c r="D102" s="101"/>
      <c r="E102" s="102"/>
    </row>
    <row r="103" spans="1:5">
      <c r="A103" s="101"/>
      <c r="B103" s="101"/>
      <c r="C103" s="101"/>
      <c r="D103" s="101"/>
      <c r="E103" s="102"/>
    </row>
    <row r="104" spans="1:5">
      <c r="A104" s="101"/>
      <c r="B104" s="101"/>
      <c r="C104" s="101"/>
      <c r="D104" s="101"/>
      <c r="E104" s="102"/>
    </row>
    <row r="105" spans="1:5">
      <c r="A105" s="101"/>
      <c r="B105" s="101"/>
      <c r="C105" s="101"/>
      <c r="D105" s="101"/>
      <c r="E105" s="102"/>
    </row>
    <row r="106" spans="1:5">
      <c r="A106" s="101"/>
      <c r="B106" s="101"/>
      <c r="C106" s="101"/>
      <c r="D106" s="101"/>
      <c r="E106" s="102"/>
    </row>
    <row r="107" spans="1:5">
      <c r="A107" s="101"/>
      <c r="B107" s="101"/>
      <c r="C107" s="101"/>
      <c r="D107" s="101"/>
      <c r="E107" s="102"/>
    </row>
    <row r="108" spans="1:5">
      <c r="A108" s="101"/>
      <c r="B108" s="101"/>
      <c r="C108" s="101"/>
      <c r="D108" s="101"/>
      <c r="E108" s="102"/>
    </row>
    <row r="109" spans="1:5">
      <c r="A109" s="101"/>
      <c r="B109" s="101"/>
      <c r="C109" s="101"/>
      <c r="D109" s="101"/>
      <c r="E109" s="102"/>
    </row>
    <row r="110" spans="1:5">
      <c r="A110" s="101"/>
      <c r="B110" s="101"/>
      <c r="C110" s="101"/>
      <c r="D110" s="101"/>
      <c r="E110" s="102"/>
    </row>
    <row r="111" spans="1:5">
      <c r="A111" s="101"/>
      <c r="B111" s="101"/>
      <c r="C111" s="101"/>
      <c r="D111" s="101"/>
      <c r="E111" s="102"/>
    </row>
    <row r="112" spans="1:5">
      <c r="A112" s="101"/>
      <c r="B112" s="101"/>
      <c r="C112" s="101"/>
      <c r="D112" s="101"/>
      <c r="E112" s="102"/>
    </row>
    <row r="113" spans="1:5">
      <c r="A113" s="101"/>
      <c r="B113" s="101"/>
      <c r="C113" s="101"/>
      <c r="D113" s="101"/>
      <c r="E113" s="102"/>
    </row>
    <row r="114" spans="1:5">
      <c r="A114" s="101"/>
      <c r="B114" s="101"/>
      <c r="C114" s="101"/>
      <c r="D114" s="101"/>
      <c r="E114" s="102"/>
    </row>
    <row r="115" spans="1:5">
      <c r="A115" s="101"/>
      <c r="B115" s="101"/>
      <c r="C115" s="101"/>
      <c r="D115" s="101"/>
      <c r="E115" s="102"/>
    </row>
    <row r="116" spans="1:5">
      <c r="A116" s="101"/>
      <c r="B116" s="101"/>
      <c r="C116" s="101"/>
      <c r="D116" s="101"/>
      <c r="E116" s="102"/>
    </row>
    <row r="117" spans="1:5">
      <c r="A117" s="101"/>
      <c r="B117" s="101"/>
      <c r="C117" s="101"/>
      <c r="D117" s="101"/>
      <c r="E117" s="102"/>
    </row>
    <row r="118" spans="1:5">
      <c r="A118" s="101"/>
      <c r="B118" s="101"/>
      <c r="C118" s="101"/>
      <c r="D118" s="101"/>
      <c r="E118" s="102"/>
    </row>
    <row r="119" spans="1:5">
      <c r="A119" s="101"/>
      <c r="B119" s="101"/>
      <c r="C119" s="101"/>
      <c r="D119" s="101"/>
      <c r="E119" s="102"/>
    </row>
    <row r="120" spans="1:5">
      <c r="A120" s="101"/>
      <c r="B120" s="101"/>
      <c r="C120" s="101"/>
      <c r="D120" s="101"/>
      <c r="E120" s="102"/>
    </row>
    <row r="121" spans="1:5">
      <c r="A121" s="101"/>
      <c r="B121" s="101"/>
      <c r="C121" s="101"/>
      <c r="D121" s="101"/>
      <c r="E121" s="102"/>
    </row>
    <row r="122" spans="1:5">
      <c r="A122" s="101"/>
      <c r="B122" s="101"/>
      <c r="C122" s="101"/>
      <c r="D122" s="101"/>
      <c r="E122" s="102"/>
    </row>
    <row r="123" spans="1:5">
      <c r="A123" s="101"/>
      <c r="B123" s="101"/>
      <c r="C123" s="101"/>
      <c r="D123" s="101"/>
      <c r="E123" s="102"/>
    </row>
    <row r="124" spans="1:5">
      <c r="A124" s="101"/>
      <c r="B124" s="101"/>
      <c r="C124" s="101"/>
      <c r="D124" s="101"/>
      <c r="E124" s="102"/>
    </row>
    <row r="125" spans="1:5">
      <c r="A125" s="101"/>
      <c r="B125" s="101"/>
      <c r="C125" s="101"/>
      <c r="D125" s="101"/>
      <c r="E125" s="102"/>
    </row>
    <row r="126" spans="1:5">
      <c r="A126" s="101"/>
      <c r="B126" s="101"/>
      <c r="C126" s="101"/>
      <c r="D126" s="101"/>
      <c r="E126" s="102"/>
    </row>
    <row r="127" spans="1:5">
      <c r="A127" s="101"/>
      <c r="B127" s="101"/>
      <c r="C127" s="101"/>
      <c r="D127" s="101"/>
      <c r="E127" s="102"/>
    </row>
    <row r="128" spans="1:5">
      <c r="A128" s="101"/>
      <c r="B128" s="101"/>
      <c r="C128" s="101"/>
      <c r="D128" s="101"/>
      <c r="E128" s="102"/>
    </row>
    <row r="129" spans="1:5">
      <c r="A129" s="101"/>
      <c r="B129" s="101"/>
      <c r="C129" s="101"/>
      <c r="D129" s="101"/>
      <c r="E129" s="102"/>
    </row>
    <row r="130" spans="1:5">
      <c r="A130" s="101"/>
      <c r="B130" s="101"/>
      <c r="C130" s="101"/>
      <c r="D130" s="101"/>
      <c r="E130" s="102"/>
    </row>
    <row r="131" spans="1:5">
      <c r="A131" s="101"/>
      <c r="B131" s="101"/>
      <c r="C131" s="101"/>
      <c r="D131" s="101"/>
      <c r="E131" s="102"/>
    </row>
    <row r="132" spans="1:5">
      <c r="A132" s="101"/>
      <c r="B132" s="101"/>
      <c r="C132" s="101"/>
      <c r="D132" s="101"/>
      <c r="E132" s="102"/>
    </row>
    <row r="133" spans="1:5">
      <c r="A133" s="101"/>
      <c r="B133" s="101"/>
      <c r="C133" s="101"/>
      <c r="D133" s="101"/>
      <c r="E133" s="102"/>
    </row>
    <row r="134" spans="1:5">
      <c r="A134" s="101"/>
      <c r="B134" s="101"/>
      <c r="C134" s="101"/>
      <c r="D134" s="101"/>
      <c r="E134" s="102"/>
    </row>
    <row r="135" spans="1:5">
      <c r="A135" s="101"/>
      <c r="B135" s="101"/>
      <c r="C135" s="101"/>
      <c r="D135" s="101"/>
      <c r="E135" s="102"/>
    </row>
    <row r="136" spans="1:5">
      <c r="A136" s="101"/>
      <c r="B136" s="101"/>
      <c r="C136" s="101"/>
      <c r="D136" s="101"/>
      <c r="E136" s="102"/>
    </row>
    <row r="137" spans="1:5">
      <c r="A137" s="101"/>
      <c r="B137" s="101"/>
      <c r="C137" s="101"/>
      <c r="D137" s="101"/>
      <c r="E137" s="102"/>
    </row>
    <row r="138" spans="1:5">
      <c r="A138" s="101"/>
      <c r="B138" s="101"/>
      <c r="C138" s="101"/>
      <c r="D138" s="101"/>
      <c r="E138" s="102"/>
    </row>
    <row r="139" spans="1:5">
      <c r="A139" s="101"/>
      <c r="B139" s="101"/>
      <c r="C139" s="101"/>
      <c r="D139" s="101"/>
      <c r="E139" s="102"/>
    </row>
    <row r="140" spans="1:5">
      <c r="A140" s="101"/>
      <c r="B140" s="101"/>
      <c r="C140" s="101"/>
      <c r="D140" s="101"/>
      <c r="E140" s="102"/>
    </row>
    <row r="141" spans="1:5">
      <c r="A141" s="101"/>
      <c r="B141" s="101"/>
      <c r="C141" s="101"/>
      <c r="D141" s="101"/>
      <c r="E141" s="102"/>
    </row>
    <row r="142" spans="1:5">
      <c r="A142" s="101"/>
      <c r="B142" s="101"/>
      <c r="C142" s="101"/>
      <c r="D142" s="101"/>
      <c r="E142" s="102"/>
    </row>
    <row r="143" spans="1:5">
      <c r="A143" s="101"/>
      <c r="B143" s="101"/>
      <c r="C143" s="101"/>
      <c r="D143" s="101"/>
      <c r="E143" s="102"/>
    </row>
    <row r="144" spans="1:5">
      <c r="A144" s="101"/>
      <c r="B144" s="101"/>
      <c r="C144" s="101"/>
      <c r="D144" s="101"/>
      <c r="E144" s="102"/>
    </row>
    <row r="145" spans="1:5">
      <c r="A145" s="101"/>
      <c r="B145" s="101"/>
      <c r="C145" s="101"/>
      <c r="D145" s="101"/>
      <c r="E145" s="102"/>
    </row>
    <row r="146" spans="1:5">
      <c r="A146" s="101"/>
      <c r="B146" s="101"/>
      <c r="C146" s="101"/>
      <c r="D146" s="101"/>
      <c r="E146" s="102"/>
    </row>
    <row r="147" spans="1:5">
      <c r="A147" s="101"/>
      <c r="B147" s="101"/>
      <c r="C147" s="101"/>
      <c r="D147" s="101"/>
      <c r="E147" s="102"/>
    </row>
    <row r="148" spans="1:5">
      <c r="A148" s="101"/>
      <c r="B148" s="101"/>
      <c r="C148" s="101"/>
      <c r="D148" s="101"/>
      <c r="E148" s="102"/>
    </row>
    <row r="149" spans="1:5">
      <c r="A149" s="101"/>
      <c r="B149" s="101"/>
      <c r="C149" s="101"/>
      <c r="D149" s="101"/>
      <c r="E149" s="102"/>
    </row>
    <row r="150" spans="1:5">
      <c r="A150" s="101"/>
      <c r="B150" s="101"/>
      <c r="C150" s="101"/>
      <c r="D150" s="101"/>
      <c r="E150" s="102"/>
    </row>
    <row r="151" spans="1:5">
      <c r="A151" s="101"/>
      <c r="B151" s="101"/>
      <c r="C151" s="101"/>
      <c r="D151" s="101"/>
      <c r="E151" s="102"/>
    </row>
    <row r="152" spans="1:5">
      <c r="A152" s="101"/>
      <c r="B152" s="101"/>
      <c r="C152" s="101"/>
      <c r="D152" s="101"/>
      <c r="E152" s="102"/>
    </row>
    <row r="153" spans="1:5">
      <c r="A153" s="101"/>
      <c r="B153" s="101"/>
      <c r="C153" s="101"/>
      <c r="D153" s="101"/>
      <c r="E153" s="102"/>
    </row>
    <row r="154" spans="1:5">
      <c r="A154" s="101"/>
      <c r="B154" s="101"/>
      <c r="C154" s="101"/>
      <c r="D154" s="101"/>
      <c r="E154" s="102"/>
    </row>
    <row r="155" spans="1:5">
      <c r="A155" s="101"/>
      <c r="B155" s="101"/>
      <c r="C155" s="101"/>
      <c r="D155" s="101"/>
      <c r="E155" s="102"/>
    </row>
    <row r="156" spans="1:5">
      <c r="A156" s="101"/>
      <c r="B156" s="101"/>
      <c r="C156" s="101"/>
      <c r="D156" s="101"/>
      <c r="E156" s="102"/>
    </row>
    <row r="157" spans="1:5">
      <c r="A157" s="101"/>
      <c r="B157" s="101"/>
      <c r="C157" s="101"/>
      <c r="D157" s="101"/>
      <c r="E157" s="102"/>
    </row>
    <row r="158" spans="1:5">
      <c r="A158" s="101"/>
      <c r="B158" s="101"/>
      <c r="C158" s="101"/>
      <c r="D158" s="101"/>
      <c r="E158" s="102"/>
    </row>
    <row r="159" spans="1:5">
      <c r="A159" s="101"/>
      <c r="B159" s="101"/>
      <c r="C159" s="101"/>
      <c r="D159" s="101"/>
      <c r="E159" s="102"/>
    </row>
    <row r="160" spans="1:5">
      <c r="A160" s="101"/>
      <c r="B160" s="101"/>
      <c r="C160" s="101"/>
      <c r="D160" s="101"/>
      <c r="E160" s="102"/>
    </row>
    <row r="161" spans="1:5">
      <c r="A161" s="101"/>
      <c r="B161" s="6"/>
      <c r="C161" s="101"/>
      <c r="D161" s="101"/>
      <c r="E161" s="102"/>
    </row>
    <row r="162" spans="1:5">
      <c r="A162" s="101"/>
      <c r="B162" s="101"/>
      <c r="C162" s="101"/>
      <c r="D162" s="101"/>
      <c r="E162" s="102"/>
    </row>
    <row r="163" spans="1:5">
      <c r="A163" s="101"/>
      <c r="B163" s="101"/>
      <c r="C163" s="101"/>
      <c r="D163" s="101"/>
      <c r="E163" s="102"/>
    </row>
    <row r="164" spans="1:5">
      <c r="A164" s="101"/>
      <c r="B164" s="101"/>
      <c r="C164" s="101"/>
      <c r="D164" s="101"/>
      <c r="E164" s="102"/>
    </row>
    <row r="165" spans="1:5">
      <c r="A165" s="101"/>
      <c r="B165" s="101"/>
      <c r="C165" s="101"/>
      <c r="D165" s="101"/>
      <c r="E165" s="102"/>
    </row>
    <row r="166" spans="1:5">
      <c r="A166" s="101"/>
      <c r="B166" s="101"/>
      <c r="C166" s="101"/>
      <c r="D166" s="101"/>
      <c r="E166" s="102"/>
    </row>
    <row r="167" spans="1:5">
      <c r="A167" s="101"/>
      <c r="B167" s="101"/>
      <c r="C167" s="101"/>
      <c r="D167" s="101"/>
      <c r="E167" s="102"/>
    </row>
    <row r="168" spans="1:5">
      <c r="A168" s="101"/>
      <c r="B168" s="101"/>
      <c r="C168" s="101"/>
      <c r="D168" s="101"/>
      <c r="E168" s="102"/>
    </row>
    <row r="169" spans="1:5">
      <c r="A169" s="101"/>
      <c r="B169" s="101"/>
      <c r="C169" s="101"/>
      <c r="D169" s="101"/>
      <c r="E169" s="102"/>
    </row>
    <row r="170" spans="1:5">
      <c r="A170" s="101"/>
      <c r="B170" s="101"/>
      <c r="C170" s="101"/>
      <c r="D170" s="101"/>
      <c r="E170" s="102"/>
    </row>
    <row r="171" spans="1:5">
      <c r="A171" s="101"/>
      <c r="B171" s="101"/>
      <c r="C171" s="101"/>
      <c r="D171" s="101"/>
      <c r="E171" s="102"/>
    </row>
    <row r="172" spans="1:5">
      <c r="A172" s="101"/>
      <c r="B172" s="101"/>
      <c r="C172" s="101"/>
      <c r="D172" s="101"/>
      <c r="E172" s="102"/>
    </row>
    <row r="173" spans="1:5">
      <c r="A173" s="101"/>
      <c r="B173" s="101"/>
      <c r="C173" s="101"/>
      <c r="D173" s="101"/>
      <c r="E173" s="102"/>
    </row>
    <row r="174" spans="1:5">
      <c r="A174" s="101"/>
      <c r="B174" s="101"/>
      <c r="C174" s="101"/>
      <c r="D174" s="101"/>
      <c r="E174" s="102"/>
    </row>
    <row r="175" spans="1:5">
      <c r="A175" s="101"/>
      <c r="B175" s="101"/>
      <c r="C175" s="101"/>
      <c r="D175" s="101"/>
      <c r="E175" s="102"/>
    </row>
    <row r="176" spans="1:5">
      <c r="A176" s="101"/>
      <c r="B176" s="101"/>
      <c r="C176" s="101"/>
      <c r="D176" s="101"/>
      <c r="E176" s="102"/>
    </row>
    <row r="177" spans="1:5">
      <c r="A177" s="101"/>
      <c r="B177" s="101"/>
      <c r="C177" s="101"/>
      <c r="D177" s="101"/>
      <c r="E177" s="102"/>
    </row>
    <row r="178" spans="1:5">
      <c r="A178" s="101"/>
      <c r="B178" s="101"/>
      <c r="C178" s="101"/>
      <c r="D178" s="101"/>
      <c r="E178" s="102"/>
    </row>
    <row r="179" spans="1:5">
      <c r="A179" s="101"/>
      <c r="B179" s="101"/>
      <c r="C179" s="101"/>
      <c r="D179" s="101"/>
      <c r="E179" s="102"/>
    </row>
    <row r="180" spans="1:5">
      <c r="A180" s="101"/>
      <c r="B180" s="101"/>
      <c r="C180" s="101"/>
      <c r="D180" s="101"/>
      <c r="E180" s="102"/>
    </row>
    <row r="181" spans="1:5">
      <c r="A181" s="101"/>
      <c r="B181" s="101"/>
      <c r="C181" s="101"/>
      <c r="D181" s="101"/>
      <c r="E181" s="102"/>
    </row>
    <row r="182" spans="1:5">
      <c r="A182" s="101"/>
      <c r="B182" s="101"/>
      <c r="C182" s="101"/>
      <c r="D182" s="101"/>
      <c r="E182" s="102"/>
    </row>
    <row r="183" spans="1:5">
      <c r="A183" s="101"/>
      <c r="B183" s="101"/>
      <c r="C183" s="101"/>
      <c r="D183" s="101"/>
      <c r="E183" s="102"/>
    </row>
    <row r="184" spans="1:5">
      <c r="A184" s="101"/>
      <c r="B184" s="101"/>
      <c r="C184" s="101"/>
      <c r="D184" s="101"/>
      <c r="E184" s="102"/>
    </row>
    <row r="185" spans="1:5">
      <c r="A185" s="101"/>
      <c r="B185" s="101"/>
      <c r="C185" s="101"/>
      <c r="D185" s="101"/>
      <c r="E185" s="102"/>
    </row>
    <row r="186" spans="1:5">
      <c r="A186" s="101"/>
      <c r="B186" s="101"/>
      <c r="C186" s="101"/>
      <c r="D186" s="101"/>
      <c r="E186" s="102"/>
    </row>
    <row r="187" spans="1:5">
      <c r="A187" s="101"/>
      <c r="B187" s="101"/>
      <c r="C187" s="101"/>
      <c r="D187" s="101"/>
      <c r="E187" s="102"/>
    </row>
    <row r="188" spans="1:5">
      <c r="A188" s="101"/>
      <c r="B188" s="101"/>
      <c r="C188" s="101"/>
      <c r="D188" s="101"/>
      <c r="E188" s="102"/>
    </row>
    <row r="189" spans="1:5">
      <c r="A189" s="101"/>
      <c r="B189" s="101"/>
      <c r="C189" s="101"/>
      <c r="D189" s="101"/>
      <c r="E189" s="102"/>
    </row>
    <row r="190" spans="1:5">
      <c r="A190" s="101"/>
      <c r="B190" s="101"/>
      <c r="C190" s="101"/>
      <c r="D190" s="101"/>
      <c r="E190" s="102"/>
    </row>
    <row r="191" spans="1:5">
      <c r="A191" s="101"/>
      <c r="B191" s="101"/>
      <c r="C191" s="101"/>
      <c r="D191" s="101"/>
      <c r="E191" s="102"/>
    </row>
    <row r="192" spans="1:5">
      <c r="A192" s="101"/>
      <c r="B192" s="101"/>
      <c r="C192" s="101"/>
      <c r="D192" s="101"/>
      <c r="E192" s="102"/>
    </row>
    <row r="193" spans="1:5">
      <c r="A193" s="101"/>
      <c r="B193" s="101"/>
      <c r="C193" s="101"/>
      <c r="D193" s="101"/>
      <c r="E193" s="102"/>
    </row>
    <row r="194" spans="1:5">
      <c r="A194" s="101"/>
      <c r="B194" s="101"/>
      <c r="C194" s="101"/>
      <c r="D194" s="101"/>
      <c r="E194" s="102"/>
    </row>
    <row r="195" spans="1:5">
      <c r="A195" s="101"/>
      <c r="B195" s="101"/>
      <c r="C195" s="101"/>
      <c r="D195" s="101"/>
      <c r="E195" s="102"/>
    </row>
    <row r="196" spans="1:5">
      <c r="A196" s="101"/>
      <c r="B196" s="101"/>
      <c r="C196" s="101"/>
      <c r="D196" s="101"/>
      <c r="E196" s="102"/>
    </row>
    <row r="197" spans="1:5">
      <c r="A197" s="101"/>
      <c r="B197" s="101"/>
      <c r="C197" s="101"/>
      <c r="D197" s="101"/>
      <c r="E197" s="102"/>
    </row>
    <row r="198" spans="1:5">
      <c r="A198" s="101"/>
      <c r="B198" s="101"/>
      <c r="C198" s="101"/>
      <c r="D198" s="101"/>
      <c r="E198" s="102"/>
    </row>
    <row r="199" spans="1:5">
      <c r="A199" s="101"/>
      <c r="B199" s="101"/>
      <c r="C199" s="101"/>
      <c r="D199" s="101"/>
      <c r="E199" s="102"/>
    </row>
    <row r="200" spans="1:5">
      <c r="A200" s="101"/>
      <c r="B200" s="101"/>
      <c r="C200" s="101"/>
      <c r="D200" s="101"/>
      <c r="E200" s="102"/>
    </row>
    <row r="201" spans="1:5">
      <c r="A201" s="101"/>
      <c r="B201" s="101"/>
      <c r="C201" s="101"/>
      <c r="D201" s="101"/>
      <c r="E201" s="102"/>
    </row>
    <row r="202" spans="1:5">
      <c r="A202" s="101"/>
      <c r="B202" s="101"/>
      <c r="C202" s="101"/>
      <c r="D202" s="101"/>
      <c r="E202" s="102"/>
    </row>
    <row r="203" spans="1:5">
      <c r="A203" s="101"/>
      <c r="B203" s="101"/>
      <c r="C203" s="101"/>
      <c r="D203" s="101"/>
      <c r="E203" s="102"/>
    </row>
    <row r="204" spans="1:5">
      <c r="A204" s="101"/>
      <c r="B204" s="101"/>
      <c r="C204" s="101"/>
      <c r="D204" s="101"/>
      <c r="E204" s="102"/>
    </row>
    <row r="205" spans="1:5">
      <c r="A205" s="101"/>
      <c r="B205" s="101"/>
      <c r="C205" s="101"/>
      <c r="D205" s="101"/>
      <c r="E205" s="102"/>
    </row>
    <row r="206" spans="1:5">
      <c r="A206" s="101"/>
      <c r="B206" s="101"/>
      <c r="C206" s="101"/>
      <c r="D206" s="101"/>
      <c r="E206" s="102"/>
    </row>
    <row r="207" spans="1:5">
      <c r="A207" s="101"/>
      <c r="B207" s="101"/>
      <c r="C207" s="101"/>
      <c r="D207" s="101"/>
      <c r="E207" s="102"/>
    </row>
    <row r="208" spans="1:5">
      <c r="A208" s="101"/>
      <c r="B208" s="101"/>
      <c r="C208" s="101"/>
      <c r="D208" s="101"/>
      <c r="E208" s="102"/>
    </row>
    <row r="209" spans="1:5">
      <c r="A209" s="101"/>
      <c r="B209" s="101"/>
      <c r="C209" s="101"/>
      <c r="D209" s="101"/>
      <c r="E209" s="102"/>
    </row>
    <row r="210" spans="1:5">
      <c r="A210" s="101"/>
      <c r="B210" s="101"/>
      <c r="C210" s="101"/>
      <c r="D210" s="101"/>
      <c r="E210" s="102"/>
    </row>
    <row r="211" spans="1:5">
      <c r="A211" s="101"/>
      <c r="B211" s="101"/>
      <c r="C211" s="101"/>
      <c r="D211" s="101"/>
      <c r="E211" s="102"/>
    </row>
    <row r="212" spans="1:5">
      <c r="A212" s="101"/>
      <c r="B212" s="101"/>
      <c r="C212" s="101"/>
      <c r="D212" s="101"/>
      <c r="E212" s="102"/>
    </row>
    <row r="213" spans="1:5">
      <c r="A213" s="101"/>
      <c r="B213" s="101"/>
      <c r="C213" s="101"/>
      <c r="D213" s="101"/>
      <c r="E213" s="102"/>
    </row>
    <row r="214" spans="1:5">
      <c r="A214" s="101"/>
      <c r="B214" s="101"/>
      <c r="C214" s="101"/>
      <c r="D214" s="101"/>
      <c r="E214" s="102"/>
    </row>
    <row r="215" spans="1:5">
      <c r="A215" s="101"/>
      <c r="B215" s="101"/>
      <c r="C215" s="101"/>
      <c r="D215" s="101"/>
      <c r="E215" s="102"/>
    </row>
    <row r="216" spans="1:5">
      <c r="A216" s="101"/>
      <c r="B216" s="101"/>
      <c r="C216" s="101"/>
      <c r="D216" s="101"/>
      <c r="E216" s="102"/>
    </row>
    <row r="217" spans="1:5">
      <c r="A217" s="101"/>
      <c r="B217" s="101"/>
      <c r="C217" s="101"/>
      <c r="D217" s="101"/>
      <c r="E217" s="102"/>
    </row>
    <row r="218" spans="1:5">
      <c r="A218" s="101"/>
      <c r="B218" s="101"/>
      <c r="C218" s="101"/>
      <c r="D218" s="101"/>
      <c r="E218" s="102"/>
    </row>
    <row r="219" spans="1:5">
      <c r="A219" s="101"/>
      <c r="B219" s="101"/>
      <c r="C219" s="101"/>
      <c r="D219" s="101"/>
      <c r="E219" s="102"/>
    </row>
    <row r="220" spans="1:5">
      <c r="A220" s="101"/>
      <c r="B220" s="101"/>
      <c r="C220" s="101"/>
      <c r="D220" s="101"/>
      <c r="E220" s="102"/>
    </row>
    <row r="221" spans="1:5">
      <c r="A221" s="101"/>
      <c r="B221" s="101"/>
      <c r="C221" s="101"/>
      <c r="D221" s="101"/>
      <c r="E221" s="102"/>
    </row>
    <row r="222" spans="1:5">
      <c r="A222" s="101"/>
      <c r="B222" s="101"/>
      <c r="C222" s="101"/>
      <c r="D222" s="101"/>
      <c r="E222" s="102"/>
    </row>
    <row r="223" spans="1:5">
      <c r="A223" s="101"/>
      <c r="B223" s="101"/>
      <c r="C223" s="101"/>
      <c r="D223" s="101"/>
      <c r="E223" s="102"/>
    </row>
    <row r="224" spans="1:5">
      <c r="A224" s="101"/>
      <c r="B224" s="101"/>
      <c r="C224" s="101"/>
      <c r="D224" s="101"/>
      <c r="E224" s="102"/>
    </row>
    <row r="225" spans="1:5">
      <c r="A225" s="101"/>
      <c r="B225" s="101"/>
      <c r="C225" s="101"/>
      <c r="D225" s="101"/>
      <c r="E225" s="102"/>
    </row>
    <row r="226" spans="1:5">
      <c r="A226" s="101"/>
      <c r="B226" s="101"/>
      <c r="C226" s="101"/>
      <c r="D226" s="101"/>
      <c r="E226" s="102"/>
    </row>
    <row r="227" spans="1:5">
      <c r="A227" s="101"/>
      <c r="B227" s="101"/>
      <c r="C227" s="101"/>
      <c r="D227" s="101"/>
      <c r="E227" s="102"/>
    </row>
    <row r="228" spans="1:5">
      <c r="A228" s="101"/>
      <c r="B228" s="101"/>
      <c r="C228" s="101"/>
      <c r="D228" s="101"/>
      <c r="E228" s="102"/>
    </row>
    <row r="229" spans="1:5">
      <c r="A229" s="101"/>
      <c r="B229" s="101"/>
      <c r="C229" s="101"/>
      <c r="D229" s="101"/>
      <c r="E229" s="102"/>
    </row>
    <row r="230" spans="1:5">
      <c r="A230" s="101"/>
      <c r="B230" s="101"/>
      <c r="C230" s="101"/>
      <c r="D230" s="101"/>
      <c r="E230" s="102"/>
    </row>
    <row r="231" spans="1:5">
      <c r="A231" s="101"/>
      <c r="B231" s="101"/>
      <c r="C231" s="101"/>
      <c r="D231" s="101"/>
      <c r="E231" s="102"/>
    </row>
    <row r="232" spans="1:5">
      <c r="A232" s="101"/>
      <c r="B232" s="101"/>
      <c r="C232" s="101"/>
      <c r="D232" s="101"/>
      <c r="E232" s="102"/>
    </row>
    <row r="233" spans="1:5">
      <c r="A233" s="101"/>
      <c r="B233" s="101"/>
      <c r="C233" s="101"/>
      <c r="D233" s="101"/>
      <c r="E233" s="102"/>
    </row>
    <row r="234" spans="1:5">
      <c r="A234" s="101"/>
      <c r="B234" s="101"/>
      <c r="C234" s="101"/>
      <c r="D234" s="101"/>
      <c r="E234" s="102"/>
    </row>
    <row r="235" spans="1:5">
      <c r="A235" s="101"/>
      <c r="B235" s="101"/>
      <c r="C235" s="101"/>
      <c r="D235" s="101"/>
      <c r="E235" s="102"/>
    </row>
    <row r="236" spans="1:5">
      <c r="A236" s="101"/>
      <c r="B236" s="101"/>
      <c r="C236" s="101"/>
      <c r="D236" s="101"/>
      <c r="E236" s="102"/>
    </row>
    <row r="237" spans="1:5">
      <c r="A237" s="101"/>
      <c r="B237" s="101"/>
      <c r="C237" s="101"/>
      <c r="D237" s="101"/>
      <c r="E237" s="102"/>
    </row>
    <row r="238" spans="1:5">
      <c r="A238" s="101"/>
      <c r="B238" s="101"/>
      <c r="C238" s="101"/>
      <c r="D238" s="101"/>
      <c r="E238" s="102"/>
    </row>
    <row r="239" spans="1:5">
      <c r="A239" s="101"/>
      <c r="B239" s="101"/>
      <c r="C239" s="101"/>
      <c r="D239" s="101"/>
      <c r="E239" s="102"/>
    </row>
    <row r="240" spans="1:5">
      <c r="A240" s="101"/>
      <c r="B240" s="101"/>
      <c r="C240" s="101"/>
      <c r="D240" s="101"/>
      <c r="E240" s="102"/>
    </row>
    <row r="241" spans="1:5">
      <c r="A241" s="101"/>
      <c r="B241" s="101"/>
      <c r="C241" s="101"/>
      <c r="D241" s="101"/>
      <c r="E241" s="102"/>
    </row>
    <row r="242" spans="1:5">
      <c r="A242" s="101"/>
      <c r="B242" s="101"/>
      <c r="C242" s="101"/>
      <c r="D242" s="101"/>
      <c r="E242" s="102"/>
    </row>
    <row r="243" spans="1:5">
      <c r="A243" s="101"/>
      <c r="B243" s="101"/>
      <c r="C243" s="101"/>
      <c r="D243" s="101"/>
      <c r="E243" s="102"/>
    </row>
    <row r="244" spans="1:5">
      <c r="A244" s="101"/>
      <c r="B244" s="101"/>
      <c r="C244" s="101"/>
      <c r="D244" s="101"/>
      <c r="E244" s="102"/>
    </row>
    <row r="245" spans="1:5">
      <c r="A245" s="101"/>
      <c r="B245" s="101"/>
      <c r="C245" s="101"/>
      <c r="D245" s="101"/>
      <c r="E245" s="102"/>
    </row>
    <row r="246" spans="1:5">
      <c r="A246" s="101"/>
      <c r="B246" s="101"/>
      <c r="C246" s="101"/>
      <c r="D246" s="101"/>
      <c r="E246" s="102"/>
    </row>
    <row r="247" spans="1:5">
      <c r="A247" s="101"/>
      <c r="B247" s="101"/>
      <c r="C247" s="101"/>
      <c r="D247" s="101"/>
      <c r="E247" s="102"/>
    </row>
    <row r="248" spans="1:5">
      <c r="A248" s="101"/>
      <c r="B248" s="101"/>
      <c r="C248" s="101"/>
      <c r="D248" s="101"/>
      <c r="E248" s="102"/>
    </row>
    <row r="249" spans="1:5">
      <c r="A249" s="101"/>
      <c r="B249" s="101"/>
      <c r="C249" s="101"/>
      <c r="D249" s="101"/>
      <c r="E249" s="102"/>
    </row>
    <row r="250" spans="1:5">
      <c r="A250" s="101"/>
      <c r="B250" s="101"/>
      <c r="C250" s="101"/>
      <c r="D250" s="101"/>
      <c r="E250" s="102"/>
    </row>
    <row r="251" spans="1:5">
      <c r="A251" s="101"/>
      <c r="B251" s="101"/>
      <c r="C251" s="101"/>
      <c r="D251" s="101"/>
      <c r="E251" s="102"/>
    </row>
    <row r="252" spans="1:5">
      <c r="A252" s="101"/>
      <c r="B252" s="101"/>
      <c r="C252" s="101"/>
      <c r="D252" s="101"/>
      <c r="E252" s="102"/>
    </row>
    <row r="253" spans="1:5">
      <c r="A253" s="101"/>
      <c r="B253" s="101"/>
      <c r="C253" s="101"/>
      <c r="D253" s="101"/>
      <c r="E253" s="102"/>
    </row>
    <row r="254" spans="1:5">
      <c r="A254" s="101"/>
      <c r="B254" s="101"/>
      <c r="C254" s="101"/>
      <c r="D254" s="101"/>
      <c r="E254" s="102"/>
    </row>
    <row r="255" spans="1:5">
      <c r="A255" s="101"/>
      <c r="B255" s="101"/>
      <c r="C255" s="101"/>
      <c r="D255" s="101"/>
      <c r="E255" s="102"/>
    </row>
    <row r="256" spans="1:5">
      <c r="A256" s="101"/>
      <c r="B256" s="101"/>
      <c r="C256" s="101"/>
      <c r="D256" s="101"/>
      <c r="E256" s="102"/>
    </row>
    <row r="257" spans="1:5">
      <c r="A257" s="101"/>
      <c r="B257" s="101"/>
      <c r="C257" s="101"/>
      <c r="D257" s="101"/>
      <c r="E257" s="102"/>
    </row>
    <row r="258" spans="1:5">
      <c r="A258" s="101"/>
      <c r="B258" s="101"/>
      <c r="C258" s="101"/>
      <c r="D258" s="101"/>
      <c r="E258" s="102"/>
    </row>
    <row r="259" spans="1:5">
      <c r="A259" s="101"/>
      <c r="B259" s="101"/>
      <c r="C259" s="101"/>
      <c r="D259" s="101"/>
      <c r="E259" s="102"/>
    </row>
    <row r="260" spans="1:5">
      <c r="A260" s="101"/>
      <c r="B260" s="101"/>
      <c r="C260" s="101"/>
      <c r="D260" s="101"/>
      <c r="E260" s="102"/>
    </row>
    <row r="261" spans="1:5">
      <c r="A261" s="101"/>
      <c r="B261" s="101"/>
      <c r="C261" s="101"/>
      <c r="D261" s="101"/>
      <c r="E261" s="102"/>
    </row>
    <row r="262" spans="1:5">
      <c r="A262" s="101"/>
      <c r="B262" s="101"/>
      <c r="C262" s="101"/>
      <c r="D262" s="101"/>
      <c r="E262" s="102"/>
    </row>
    <row r="263" spans="1:5">
      <c r="A263" s="101"/>
      <c r="B263" s="101"/>
      <c r="C263" s="101"/>
      <c r="D263" s="101"/>
      <c r="E263" s="102"/>
    </row>
    <row r="264" spans="1:5">
      <c r="A264" s="101"/>
      <c r="B264" s="101"/>
      <c r="C264" s="101"/>
      <c r="D264" s="101"/>
      <c r="E264" s="102"/>
    </row>
    <row r="265" spans="1:5">
      <c r="A265" s="101"/>
      <c r="B265" s="101"/>
      <c r="C265" s="101"/>
      <c r="D265" s="101"/>
      <c r="E265" s="102"/>
    </row>
    <row r="266" spans="1:5">
      <c r="A266" s="101"/>
      <c r="B266" s="101"/>
      <c r="C266" s="101"/>
      <c r="D266" s="101"/>
      <c r="E266" s="102"/>
    </row>
    <row r="267" spans="1:5">
      <c r="A267" s="101"/>
      <c r="B267" s="101"/>
      <c r="C267" s="101"/>
      <c r="D267" s="101"/>
      <c r="E267" s="102"/>
    </row>
    <row r="268" spans="1:5">
      <c r="A268" s="101"/>
      <c r="B268" s="101"/>
      <c r="C268" s="101"/>
      <c r="D268" s="101"/>
      <c r="E268" s="102"/>
    </row>
    <row r="269" spans="1:5">
      <c r="A269" s="101"/>
      <c r="B269" s="101"/>
      <c r="C269" s="101"/>
      <c r="D269" s="101"/>
      <c r="E269" s="102"/>
    </row>
    <row r="270" spans="1:5">
      <c r="A270" s="101"/>
      <c r="B270" s="101"/>
      <c r="C270" s="101"/>
      <c r="D270" s="101"/>
      <c r="E270" s="102"/>
    </row>
    <row r="271" spans="1:5">
      <c r="A271" s="101"/>
      <c r="B271" s="101"/>
      <c r="C271" s="101"/>
      <c r="D271" s="101"/>
      <c r="E271" s="102"/>
    </row>
    <row r="272" spans="1:5">
      <c r="A272" s="101"/>
      <c r="B272" s="101"/>
      <c r="C272" s="101"/>
      <c r="D272" s="101"/>
      <c r="E272" s="102"/>
    </row>
    <row r="273" spans="1:5">
      <c r="A273" s="101"/>
      <c r="B273" s="101"/>
      <c r="C273" s="101"/>
      <c r="D273" s="101"/>
      <c r="E273" s="102"/>
    </row>
    <row r="274" spans="1:5">
      <c r="A274" s="101"/>
      <c r="B274" s="101"/>
      <c r="C274" s="101"/>
      <c r="D274" s="101"/>
      <c r="E274" s="102"/>
    </row>
    <row r="275" spans="1:5">
      <c r="A275" s="101"/>
      <c r="B275" s="101"/>
      <c r="C275" s="101"/>
      <c r="D275" s="101"/>
      <c r="E275" s="102"/>
    </row>
    <row r="276" spans="1:5">
      <c r="A276" s="101"/>
      <c r="B276" s="101"/>
      <c r="C276" s="101"/>
      <c r="D276" s="101"/>
      <c r="E276" s="102"/>
    </row>
    <row r="277" spans="1:5">
      <c r="A277" s="101"/>
      <c r="B277" s="101"/>
      <c r="C277" s="101"/>
      <c r="D277" s="101"/>
      <c r="E277" s="102"/>
    </row>
    <row r="278" spans="1:5">
      <c r="A278" s="101"/>
      <c r="B278" s="101"/>
      <c r="C278" s="101"/>
      <c r="D278" s="101"/>
      <c r="E278" s="102"/>
    </row>
    <row r="279" spans="1:5">
      <c r="A279" s="101"/>
      <c r="B279" s="101"/>
      <c r="C279" s="101"/>
      <c r="D279" s="101"/>
      <c r="E279" s="102"/>
    </row>
    <row r="280" spans="1:5">
      <c r="A280" s="101"/>
      <c r="B280" s="101"/>
      <c r="C280" s="101"/>
      <c r="D280" s="101"/>
      <c r="E280" s="102"/>
    </row>
    <row r="281" spans="1:5">
      <c r="A281" s="101"/>
      <c r="B281" s="101"/>
      <c r="C281" s="101"/>
      <c r="D281" s="101"/>
      <c r="E281" s="102"/>
    </row>
    <row r="282" spans="1:5">
      <c r="A282" s="101"/>
      <c r="B282" s="101"/>
      <c r="C282" s="101"/>
      <c r="D282" s="101"/>
      <c r="E282" s="102"/>
    </row>
    <row r="283" spans="1:5">
      <c r="A283" s="101"/>
      <c r="B283" s="101"/>
      <c r="C283" s="101"/>
      <c r="D283" s="101"/>
      <c r="E283" s="102"/>
    </row>
    <row r="284" spans="1:5">
      <c r="A284" s="101"/>
      <c r="B284" s="101"/>
      <c r="C284" s="101"/>
      <c r="D284" s="101"/>
      <c r="E284" s="102"/>
    </row>
    <row r="285" spans="1:5">
      <c r="A285" s="101"/>
      <c r="B285" s="101"/>
      <c r="C285" s="101"/>
      <c r="D285" s="101"/>
      <c r="E285" s="102"/>
    </row>
    <row r="286" spans="1:5">
      <c r="A286" s="101"/>
      <c r="B286" s="101"/>
      <c r="C286" s="101"/>
      <c r="D286" s="101"/>
      <c r="E286" s="102"/>
    </row>
    <row r="287" spans="1:5">
      <c r="A287" s="101"/>
      <c r="B287" s="101"/>
      <c r="C287" s="101"/>
      <c r="D287" s="101"/>
      <c r="E287" s="102"/>
    </row>
    <row r="288" spans="1:5">
      <c r="A288" s="101"/>
      <c r="B288" s="101"/>
      <c r="C288" s="101"/>
      <c r="D288" s="101"/>
      <c r="E288" s="102"/>
    </row>
    <row r="289" spans="1:5">
      <c r="A289" s="101"/>
      <c r="B289" s="101"/>
      <c r="C289" s="101"/>
      <c r="D289" s="101"/>
      <c r="E289" s="102"/>
    </row>
    <row r="290" spans="1:5">
      <c r="A290" s="101"/>
      <c r="B290" s="101"/>
      <c r="C290" s="101"/>
      <c r="D290" s="101"/>
      <c r="E290" s="102"/>
    </row>
    <row r="291" spans="1:5">
      <c r="A291" s="101"/>
      <c r="B291" s="101"/>
      <c r="C291" s="101"/>
      <c r="D291" s="101"/>
      <c r="E291" s="102"/>
    </row>
    <row r="292" spans="1:5">
      <c r="A292" s="101"/>
      <c r="B292" s="101"/>
      <c r="C292" s="101"/>
      <c r="D292" s="101"/>
      <c r="E292" s="102"/>
    </row>
    <row r="293" spans="1:5">
      <c r="A293" s="101"/>
      <c r="B293" s="101"/>
      <c r="C293" s="101"/>
      <c r="D293" s="101"/>
      <c r="E293" s="102"/>
    </row>
    <row r="294" spans="1:5">
      <c r="A294" s="101"/>
      <c r="B294" s="101"/>
      <c r="C294" s="101"/>
      <c r="D294" s="101"/>
      <c r="E294" s="102"/>
    </row>
    <row r="295" spans="1:5">
      <c r="A295" s="101"/>
      <c r="B295" s="101"/>
      <c r="C295" s="101"/>
      <c r="D295" s="101"/>
      <c r="E295" s="102"/>
    </row>
    <row r="296" spans="1:5">
      <c r="A296" s="101"/>
      <c r="B296" s="101"/>
      <c r="C296" s="101"/>
      <c r="D296" s="101"/>
      <c r="E296" s="102"/>
    </row>
    <row r="297" spans="1:5">
      <c r="A297" s="101"/>
      <c r="B297" s="101"/>
      <c r="C297" s="101"/>
      <c r="D297" s="101"/>
      <c r="E297" s="102"/>
    </row>
    <row r="298" spans="1:5">
      <c r="A298" s="101"/>
      <c r="B298" s="101"/>
      <c r="C298" s="101"/>
      <c r="D298" s="101"/>
      <c r="E298" s="102"/>
    </row>
    <row r="299" spans="1:5">
      <c r="A299" s="101"/>
      <c r="B299" s="101"/>
      <c r="C299" s="101"/>
      <c r="D299" s="101"/>
      <c r="E299" s="102"/>
    </row>
    <row r="300" spans="1:5">
      <c r="A300" s="101"/>
      <c r="B300" s="101"/>
      <c r="C300" s="101"/>
      <c r="D300" s="101"/>
      <c r="E300" s="102"/>
    </row>
    <row r="301" spans="1:5">
      <c r="A301" s="101"/>
      <c r="B301" s="101"/>
      <c r="C301" s="101"/>
      <c r="D301" s="101"/>
      <c r="E301" s="102"/>
    </row>
    <row r="302" spans="1:5">
      <c r="A302" s="101"/>
      <c r="B302" s="101"/>
      <c r="C302" s="101"/>
      <c r="D302" s="101"/>
      <c r="E302" s="102"/>
    </row>
    <row r="303" spans="1:5">
      <c r="A303" s="101"/>
      <c r="B303" s="101"/>
      <c r="C303" s="101"/>
      <c r="D303" s="101"/>
      <c r="E303" s="102"/>
    </row>
    <row r="304" spans="1:5">
      <c r="A304" s="101"/>
      <c r="B304" s="101"/>
      <c r="C304" s="101"/>
      <c r="D304" s="101"/>
      <c r="E304" s="102"/>
    </row>
    <row r="305" spans="1:5">
      <c r="A305" s="101"/>
      <c r="B305" s="101"/>
      <c r="C305" s="101"/>
      <c r="D305" s="101"/>
      <c r="E305" s="102"/>
    </row>
    <row r="306" spans="1:5">
      <c r="A306" s="101"/>
      <c r="B306" s="101"/>
      <c r="C306" s="101"/>
      <c r="D306" s="101"/>
      <c r="E306" s="102"/>
    </row>
    <row r="307" spans="1:5">
      <c r="A307" s="101"/>
      <c r="B307" s="101"/>
      <c r="C307" s="101"/>
      <c r="D307" s="101"/>
      <c r="E307" s="102"/>
    </row>
    <row r="308" spans="1:5">
      <c r="A308" s="101"/>
      <c r="B308" s="101"/>
      <c r="C308" s="101"/>
      <c r="D308" s="101"/>
      <c r="E308" s="102"/>
    </row>
    <row r="309" spans="1:5">
      <c r="A309" s="101"/>
      <c r="B309" s="101"/>
      <c r="C309" s="101"/>
      <c r="D309" s="101"/>
      <c r="E309" s="102"/>
    </row>
    <row r="310" spans="1:5">
      <c r="A310" s="101"/>
      <c r="B310" s="101"/>
      <c r="C310" s="101"/>
      <c r="D310" s="101"/>
      <c r="E310" s="102"/>
    </row>
    <row r="311" spans="1:5">
      <c r="A311" s="101"/>
      <c r="B311" s="101"/>
      <c r="C311" s="101"/>
      <c r="D311" s="101"/>
      <c r="E311" s="102"/>
    </row>
    <row r="312" spans="1:5">
      <c r="A312" s="101"/>
      <c r="B312" s="101"/>
      <c r="C312" s="101"/>
      <c r="D312" s="101"/>
      <c r="E312" s="102"/>
    </row>
    <row r="313" spans="1:5">
      <c r="A313" s="101"/>
      <c r="B313" s="101"/>
      <c r="C313" s="101"/>
      <c r="D313" s="101"/>
      <c r="E313" s="102"/>
    </row>
    <row r="314" spans="1:5">
      <c r="A314" s="101"/>
      <c r="B314" s="101"/>
      <c r="C314" s="101"/>
      <c r="D314" s="101"/>
      <c r="E314" s="102"/>
    </row>
    <row r="315" spans="1:5">
      <c r="A315" s="101"/>
      <c r="B315" s="101"/>
      <c r="C315" s="101"/>
      <c r="D315" s="101"/>
      <c r="E315" s="102"/>
    </row>
    <row r="316" spans="1:5">
      <c r="A316" s="101"/>
      <c r="B316" s="101"/>
      <c r="C316" s="101"/>
      <c r="D316" s="101"/>
      <c r="E316" s="102"/>
    </row>
    <row r="317" spans="1:5">
      <c r="A317" s="101"/>
      <c r="B317" s="101"/>
      <c r="C317" s="101"/>
      <c r="D317" s="101"/>
      <c r="E317" s="102"/>
    </row>
    <row r="318" spans="1:5">
      <c r="A318" s="101"/>
      <c r="B318" s="101"/>
      <c r="C318" s="101"/>
      <c r="D318" s="101"/>
      <c r="E318" s="102"/>
    </row>
    <row r="319" spans="1:5">
      <c r="A319" s="101"/>
      <c r="B319" s="101"/>
      <c r="C319" s="101"/>
      <c r="D319" s="101"/>
      <c r="E319" s="102"/>
    </row>
    <row r="320" spans="1:5">
      <c r="A320" s="101"/>
      <c r="B320" s="101"/>
      <c r="C320" s="101"/>
      <c r="D320" s="101"/>
      <c r="E320" s="102"/>
    </row>
    <row r="321" spans="1:7">
      <c r="A321" s="101"/>
      <c r="B321" s="101"/>
      <c r="C321" s="101"/>
      <c r="D321" s="101"/>
      <c r="E321" s="102"/>
    </row>
    <row r="322" spans="1:7">
      <c r="A322" s="101"/>
      <c r="B322" s="101"/>
      <c r="C322" s="101"/>
      <c r="D322" s="101"/>
      <c r="E322" s="102"/>
      <c r="F322" s="7"/>
      <c r="G322"/>
    </row>
    <row r="323" spans="1:7">
      <c r="A323" s="101"/>
      <c r="B323" s="101"/>
      <c r="C323" s="101"/>
      <c r="D323" s="101"/>
      <c r="E323" s="102"/>
    </row>
    <row r="324" spans="1:7">
      <c r="A324" s="101"/>
      <c r="B324" s="101"/>
      <c r="C324" s="101"/>
      <c r="D324" s="101"/>
      <c r="E324" s="102"/>
    </row>
    <row r="325" spans="1:7">
      <c r="A325" s="101"/>
      <c r="B325" s="101"/>
      <c r="C325" s="101"/>
      <c r="D325" s="101"/>
      <c r="E325" s="102"/>
    </row>
    <row r="326" spans="1:7">
      <c r="A326" s="101"/>
      <c r="B326" s="101"/>
      <c r="C326" s="101"/>
      <c r="D326" s="101"/>
      <c r="E326" s="102"/>
    </row>
    <row r="327" spans="1:7">
      <c r="A327" s="101"/>
      <c r="B327" s="101"/>
      <c r="C327" s="101"/>
      <c r="D327" s="101"/>
      <c r="E327" s="102"/>
    </row>
    <row r="328" spans="1:7">
      <c r="A328" s="101"/>
      <c r="B328" s="101"/>
      <c r="C328" s="101"/>
      <c r="D328" s="101"/>
      <c r="E328" s="102"/>
    </row>
    <row r="329" spans="1:7">
      <c r="A329" s="101"/>
      <c r="B329" s="101"/>
      <c r="C329" s="101"/>
      <c r="D329" s="101"/>
      <c r="E329" s="102"/>
    </row>
    <row r="330" spans="1:7">
      <c r="A330" s="101"/>
      <c r="B330" s="101"/>
      <c r="C330" s="101"/>
      <c r="D330" s="101"/>
      <c r="E330" s="102"/>
    </row>
    <row r="331" spans="1:7">
      <c r="A331" s="101"/>
      <c r="B331" s="101"/>
      <c r="C331" s="101"/>
      <c r="D331" s="101"/>
      <c r="E331" s="102"/>
    </row>
    <row r="332" spans="1:7">
      <c r="A332" s="101"/>
      <c r="B332" s="101"/>
      <c r="C332" s="101"/>
      <c r="D332" s="101"/>
      <c r="E332" s="102"/>
    </row>
    <row r="333" spans="1:7">
      <c r="A333" s="101"/>
      <c r="B333" s="101"/>
      <c r="C333" s="101"/>
      <c r="D333" s="101"/>
      <c r="E333" s="102"/>
    </row>
    <row r="334" spans="1:7">
      <c r="A334" s="101"/>
      <c r="B334" s="101"/>
      <c r="C334" s="101"/>
      <c r="D334" s="101"/>
      <c r="E334" s="102"/>
    </row>
    <row r="335" spans="1:7">
      <c r="A335" s="101"/>
      <c r="B335" s="101"/>
      <c r="C335" s="101"/>
      <c r="D335" s="101"/>
      <c r="E335" s="102"/>
    </row>
    <row r="336" spans="1:7">
      <c r="A336" s="101"/>
      <c r="B336" s="101"/>
      <c r="C336" s="101"/>
      <c r="D336" s="101"/>
      <c r="E336" s="102"/>
    </row>
    <row r="337" spans="1:5">
      <c r="A337" s="101"/>
      <c r="B337" s="101"/>
      <c r="C337" s="101"/>
      <c r="D337" s="101"/>
      <c r="E337" s="102"/>
    </row>
    <row r="338" spans="1:5">
      <c r="A338" s="101"/>
      <c r="B338" s="101"/>
      <c r="C338" s="101"/>
      <c r="D338" s="101"/>
      <c r="E338" s="102"/>
    </row>
    <row r="339" spans="1:5">
      <c r="A339" s="101"/>
      <c r="B339" s="101"/>
      <c r="C339" s="101"/>
      <c r="D339" s="101"/>
      <c r="E339" s="102"/>
    </row>
    <row r="340" spans="1:5">
      <c r="A340" s="101"/>
      <c r="B340" s="101"/>
      <c r="C340" s="101"/>
      <c r="D340" s="101"/>
      <c r="E340" s="102"/>
    </row>
    <row r="341" spans="1:5">
      <c r="A341" s="101"/>
      <c r="B341" s="101"/>
      <c r="C341" s="101"/>
      <c r="D341" s="101"/>
      <c r="E341" s="102"/>
    </row>
    <row r="342" spans="1:5">
      <c r="A342" s="101"/>
      <c r="B342" s="101"/>
      <c r="C342" s="101"/>
      <c r="D342" s="101"/>
      <c r="E342" s="102"/>
    </row>
    <row r="343" spans="1:5">
      <c r="A343" s="101"/>
      <c r="B343" s="101"/>
      <c r="C343" s="101"/>
      <c r="D343" s="101"/>
      <c r="E343" s="102"/>
    </row>
    <row r="344" spans="1:5">
      <c r="A344" s="101"/>
      <c r="B344" s="101"/>
      <c r="C344" s="101"/>
      <c r="D344" s="101"/>
      <c r="E344" s="102"/>
    </row>
    <row r="345" spans="1:5">
      <c r="A345" s="101"/>
      <c r="B345" s="101"/>
      <c r="C345" s="101"/>
      <c r="D345" s="101"/>
      <c r="E345" s="102"/>
    </row>
    <row r="346" spans="1:5">
      <c r="A346" s="101"/>
      <c r="B346" s="101"/>
      <c r="C346" s="101"/>
      <c r="D346" s="101"/>
      <c r="E346" s="102"/>
    </row>
    <row r="347" spans="1:5">
      <c r="A347" s="101"/>
      <c r="B347" s="101"/>
      <c r="C347" s="101"/>
      <c r="D347" s="101"/>
      <c r="E347" s="102"/>
    </row>
    <row r="348" spans="1:5">
      <c r="A348" s="101"/>
      <c r="B348" s="101"/>
      <c r="C348" s="101"/>
      <c r="D348" s="101"/>
      <c r="E348" s="102"/>
    </row>
    <row r="349" spans="1:5">
      <c r="A349" s="101"/>
      <c r="B349" s="101"/>
      <c r="C349" s="101"/>
      <c r="D349" s="101"/>
      <c r="E349" s="102"/>
    </row>
    <row r="350" spans="1:5">
      <c r="A350" s="101"/>
      <c r="B350" s="101"/>
      <c r="C350" s="101"/>
      <c r="D350" s="101"/>
      <c r="E350" s="102"/>
    </row>
    <row r="351" spans="1:5">
      <c r="A351" s="101"/>
      <c r="B351" s="101"/>
      <c r="C351" s="101"/>
      <c r="D351" s="101"/>
      <c r="E351" s="102"/>
    </row>
    <row r="352" spans="1:5">
      <c r="A352" s="101"/>
      <c r="B352" s="101"/>
      <c r="C352" s="101"/>
      <c r="D352" s="101"/>
      <c r="E352" s="102"/>
    </row>
    <row r="353" spans="1:5">
      <c r="A353" s="101"/>
      <c r="B353" s="101"/>
      <c r="C353" s="101"/>
      <c r="D353" s="101"/>
      <c r="E353" s="102"/>
    </row>
    <row r="354" spans="1:5">
      <c r="A354" s="101"/>
      <c r="B354" s="101"/>
      <c r="C354" s="101"/>
      <c r="D354" s="101"/>
      <c r="E354" s="102"/>
    </row>
    <row r="355" spans="1:5">
      <c r="A355" s="101"/>
      <c r="B355" s="101"/>
      <c r="C355" s="101"/>
      <c r="D355" s="101"/>
      <c r="E355" s="102"/>
    </row>
    <row r="356" spans="1:5">
      <c r="A356" s="101"/>
      <c r="B356" s="101"/>
      <c r="C356" s="101"/>
      <c r="D356" s="101"/>
      <c r="E356" s="102"/>
    </row>
    <row r="357" spans="1:5">
      <c r="A357" s="101"/>
      <c r="B357" s="101"/>
      <c r="C357" s="101"/>
      <c r="D357" s="101"/>
      <c r="E357" s="102"/>
    </row>
    <row r="358" spans="1:5">
      <c r="A358" s="101"/>
      <c r="B358" s="101"/>
      <c r="C358" s="101"/>
      <c r="D358" s="101"/>
      <c r="E358" s="102"/>
    </row>
    <row r="359" spans="1:5">
      <c r="A359" s="101"/>
      <c r="B359" s="101"/>
      <c r="C359" s="101"/>
      <c r="D359" s="101"/>
      <c r="E359" s="102"/>
    </row>
    <row r="360" spans="1:5">
      <c r="A360" s="101"/>
      <c r="B360" s="101"/>
      <c r="C360" s="101"/>
      <c r="D360" s="101"/>
      <c r="E360" s="102"/>
    </row>
    <row r="361" spans="1:5">
      <c r="A361" s="101"/>
      <c r="B361" s="101"/>
      <c r="C361" s="101"/>
      <c r="D361" s="101"/>
      <c r="E361" s="102"/>
    </row>
    <row r="362" spans="1:5">
      <c r="A362" s="101"/>
      <c r="B362" s="101"/>
      <c r="C362" s="101"/>
      <c r="D362" s="101"/>
      <c r="E362" s="102"/>
    </row>
    <row r="363" spans="1:5">
      <c r="A363" s="101"/>
      <c r="B363" s="101"/>
      <c r="C363" s="101"/>
      <c r="D363" s="101"/>
      <c r="E363" s="102"/>
    </row>
    <row r="364" spans="1:5">
      <c r="A364" s="101"/>
      <c r="B364" s="101"/>
      <c r="C364" s="101"/>
      <c r="D364" s="101"/>
      <c r="E364" s="102"/>
    </row>
    <row r="365" spans="1:5">
      <c r="A365" s="101"/>
      <c r="B365" s="101"/>
      <c r="C365" s="101"/>
      <c r="D365" s="101"/>
      <c r="E365" s="102"/>
    </row>
    <row r="366" spans="1:5">
      <c r="A366" s="101"/>
      <c r="B366" s="101"/>
      <c r="C366" s="101"/>
      <c r="D366" s="101"/>
      <c r="E366" s="102"/>
    </row>
    <row r="367" spans="1:5">
      <c r="A367" s="101"/>
      <c r="B367" s="101"/>
      <c r="C367" s="101"/>
      <c r="D367" s="101"/>
      <c r="E367" s="102"/>
    </row>
    <row r="368" spans="1:5">
      <c r="A368" s="101"/>
      <c r="B368" s="101"/>
      <c r="C368" s="101"/>
      <c r="D368" s="101"/>
      <c r="E368" s="102"/>
    </row>
    <row r="369" spans="1:5">
      <c r="A369" s="101"/>
      <c r="B369" s="101"/>
      <c r="C369" s="101"/>
      <c r="D369" s="101"/>
      <c r="E369" s="102"/>
    </row>
    <row r="370" spans="1:5">
      <c r="A370" s="101"/>
      <c r="B370" s="101"/>
      <c r="C370" s="101"/>
      <c r="D370" s="101"/>
      <c r="E370" s="102"/>
    </row>
    <row r="371" spans="1:5">
      <c r="A371" s="101"/>
      <c r="B371" s="101"/>
      <c r="C371" s="101"/>
      <c r="D371" s="101"/>
      <c r="E371" s="102"/>
    </row>
    <row r="372" spans="1:5">
      <c r="A372" s="101"/>
      <c r="B372" s="101"/>
      <c r="C372" s="101"/>
      <c r="D372" s="101"/>
      <c r="E372" s="102"/>
    </row>
    <row r="373" spans="1:5">
      <c r="A373" s="101"/>
      <c r="B373" s="101"/>
      <c r="C373" s="101"/>
      <c r="D373" s="101"/>
      <c r="E373" s="102"/>
    </row>
    <row r="374" spans="1:5">
      <c r="A374" s="101"/>
      <c r="B374" s="101"/>
      <c r="C374" s="101"/>
      <c r="D374" s="101"/>
      <c r="E374" s="102"/>
    </row>
    <row r="375" spans="1:5">
      <c r="A375" s="101"/>
      <c r="B375" s="101"/>
      <c r="C375" s="101"/>
      <c r="D375" s="101"/>
      <c r="E375" s="102"/>
    </row>
    <row r="376" spans="1:5">
      <c r="A376" s="101"/>
      <c r="B376" s="101"/>
      <c r="C376" s="101"/>
      <c r="D376" s="101"/>
      <c r="E376" s="102"/>
    </row>
    <row r="377" spans="1:5">
      <c r="A377" s="101"/>
      <c r="B377" s="101"/>
      <c r="C377" s="101"/>
      <c r="D377" s="101"/>
      <c r="E377" s="102"/>
    </row>
    <row r="378" spans="1:5">
      <c r="A378" s="101"/>
      <c r="B378" s="101"/>
      <c r="C378" s="101"/>
      <c r="D378" s="101"/>
      <c r="E378" s="102"/>
    </row>
    <row r="379" spans="1:5">
      <c r="A379" s="101"/>
      <c r="B379" s="101"/>
      <c r="C379" s="101"/>
      <c r="D379" s="101"/>
      <c r="E379" s="102"/>
    </row>
    <row r="380" spans="1:5">
      <c r="A380" s="101"/>
      <c r="B380" s="101"/>
      <c r="C380" s="101"/>
      <c r="D380" s="101"/>
      <c r="E380" s="102"/>
    </row>
    <row r="381" spans="1:5">
      <c r="A381" s="101"/>
      <c r="B381" s="101"/>
      <c r="C381" s="101"/>
      <c r="D381" s="101"/>
      <c r="E381" s="102"/>
    </row>
    <row r="382" spans="1:5">
      <c r="A382" s="101"/>
      <c r="B382" s="101"/>
      <c r="C382" s="101"/>
      <c r="D382" s="101"/>
      <c r="E382" s="102"/>
    </row>
    <row r="383" spans="1:5">
      <c r="A383" s="101"/>
      <c r="B383" s="101"/>
      <c r="C383" s="101"/>
      <c r="D383" s="101"/>
      <c r="E383" s="102"/>
    </row>
    <row r="384" spans="1:5">
      <c r="A384" s="101"/>
      <c r="B384" s="101"/>
      <c r="C384" s="101"/>
      <c r="D384" s="101"/>
      <c r="E384" s="102"/>
    </row>
    <row r="385" spans="1:5">
      <c r="A385" s="101"/>
      <c r="B385" s="101"/>
      <c r="C385" s="101"/>
      <c r="D385" s="101"/>
      <c r="E385" s="102"/>
    </row>
    <row r="386" spans="1:5">
      <c r="A386" s="101"/>
      <c r="B386" s="101"/>
      <c r="C386" s="101"/>
      <c r="D386" s="101"/>
      <c r="E386" s="102"/>
    </row>
    <row r="387" spans="1:5">
      <c r="A387" s="101"/>
      <c r="B387" s="101"/>
      <c r="C387" s="101"/>
      <c r="D387" s="101"/>
      <c r="E387" s="102"/>
    </row>
    <row r="388" spans="1:5">
      <c r="A388" s="101"/>
      <c r="B388" s="101"/>
      <c r="C388" s="101"/>
      <c r="D388" s="101"/>
      <c r="E388" s="102"/>
    </row>
    <row r="389" spans="1:5">
      <c r="A389" s="101"/>
      <c r="B389" s="101"/>
      <c r="C389" s="101"/>
      <c r="D389" s="101"/>
      <c r="E389" s="102"/>
    </row>
    <row r="390" spans="1:5">
      <c r="A390" s="101"/>
      <c r="B390" s="101"/>
      <c r="C390" s="101"/>
      <c r="D390" s="101"/>
      <c r="E390" s="102"/>
    </row>
    <row r="391" spans="1:5">
      <c r="A391" s="101"/>
      <c r="B391" s="101"/>
      <c r="C391" s="101"/>
      <c r="D391" s="101"/>
      <c r="E391" s="102"/>
    </row>
    <row r="392" spans="1:5">
      <c r="A392" s="101"/>
      <c r="B392" s="101"/>
      <c r="C392" s="101"/>
      <c r="D392" s="101"/>
      <c r="E392" s="102"/>
    </row>
    <row r="393" spans="1:5">
      <c r="A393" s="101"/>
      <c r="B393" s="101"/>
      <c r="C393" s="101"/>
      <c r="D393" s="101"/>
      <c r="E393" s="102"/>
    </row>
    <row r="394" spans="1:5">
      <c r="A394" s="101"/>
      <c r="B394" s="101"/>
      <c r="C394" s="101"/>
      <c r="D394" s="101"/>
      <c r="E394" s="102"/>
    </row>
    <row r="395" spans="1:5">
      <c r="A395" s="101"/>
      <c r="B395" s="101"/>
      <c r="C395" s="101"/>
      <c r="D395" s="101"/>
      <c r="E395" s="102"/>
    </row>
    <row r="396" spans="1:5">
      <c r="A396" s="101"/>
      <c r="B396" s="101"/>
      <c r="C396" s="101"/>
      <c r="D396" s="101"/>
      <c r="E396" s="102"/>
    </row>
    <row r="397" spans="1:5">
      <c r="A397" s="101"/>
      <c r="B397" s="101"/>
      <c r="C397" s="101"/>
      <c r="D397" s="101"/>
      <c r="E397" s="102"/>
    </row>
    <row r="398" spans="1:5">
      <c r="A398" s="101"/>
      <c r="B398" s="101"/>
      <c r="C398" s="101"/>
      <c r="D398" s="101"/>
      <c r="E398" s="102"/>
    </row>
    <row r="399" spans="1:5">
      <c r="A399" s="101"/>
      <c r="B399" s="101"/>
      <c r="C399" s="101"/>
      <c r="D399" s="101"/>
      <c r="E399" s="102"/>
    </row>
    <row r="400" spans="1:5">
      <c r="A400" s="101"/>
      <c r="B400" s="101"/>
      <c r="C400" s="101"/>
      <c r="D400" s="101"/>
      <c r="E400" s="102"/>
    </row>
    <row r="401" spans="1:5">
      <c r="A401" s="101"/>
      <c r="B401" s="101"/>
      <c r="C401" s="101"/>
      <c r="D401" s="101"/>
      <c r="E401" s="102"/>
    </row>
    <row r="402" spans="1:5">
      <c r="A402" s="101"/>
      <c r="B402" s="101"/>
      <c r="C402" s="101"/>
      <c r="D402" s="101"/>
      <c r="E402" s="102"/>
    </row>
    <row r="403" spans="1:5">
      <c r="A403" s="101"/>
      <c r="B403" s="101"/>
      <c r="C403" s="101"/>
      <c r="D403" s="101"/>
      <c r="E403" s="102"/>
    </row>
    <row r="404" spans="1:5">
      <c r="A404" s="101"/>
      <c r="B404" s="101"/>
      <c r="C404" s="101"/>
      <c r="D404" s="101"/>
      <c r="E404" s="102"/>
    </row>
    <row r="405" spans="1:5">
      <c r="A405" s="101"/>
      <c r="B405" s="101"/>
      <c r="C405" s="101"/>
      <c r="D405" s="101"/>
      <c r="E405" s="102"/>
    </row>
    <row r="406" spans="1:5">
      <c r="A406" s="101"/>
      <c r="B406" s="101"/>
      <c r="C406" s="101"/>
      <c r="D406" s="101"/>
      <c r="E406" s="102"/>
    </row>
    <row r="407" spans="1:5">
      <c r="A407" s="101"/>
      <c r="B407" s="101"/>
      <c r="C407" s="101"/>
      <c r="D407" s="101"/>
      <c r="E407" s="102"/>
    </row>
    <row r="408" spans="1:5">
      <c r="A408" s="101"/>
      <c r="B408" s="101"/>
      <c r="C408" s="101"/>
      <c r="D408" s="101"/>
      <c r="E408" s="102"/>
    </row>
    <row r="409" spans="1:5">
      <c r="A409" s="101"/>
      <c r="B409" s="101"/>
      <c r="C409" s="101"/>
      <c r="D409" s="101"/>
      <c r="E409" s="102"/>
    </row>
    <row r="410" spans="1:5">
      <c r="A410" s="101"/>
      <c r="B410" s="101"/>
      <c r="C410" s="101"/>
      <c r="D410" s="101"/>
      <c r="E410" s="102"/>
    </row>
    <row r="411" spans="1:5">
      <c r="A411" s="101"/>
      <c r="B411" s="101"/>
      <c r="C411" s="101"/>
      <c r="D411" s="101"/>
      <c r="E411" s="102"/>
    </row>
    <row r="412" spans="1:5">
      <c r="A412" s="101"/>
      <c r="B412" s="101"/>
      <c r="C412" s="101"/>
      <c r="D412" s="101"/>
      <c r="E412" s="101"/>
    </row>
    <row r="413" spans="1:5">
      <c r="A413" s="101"/>
      <c r="B413" s="101"/>
      <c r="C413" s="101"/>
      <c r="D413" s="101"/>
      <c r="E413" s="101"/>
    </row>
    <row r="414" spans="1:5">
      <c r="A414" s="101"/>
      <c r="B414" s="101"/>
      <c r="C414" s="101"/>
      <c r="D414" s="101"/>
      <c r="E414" s="101"/>
    </row>
    <row r="415" spans="1:5">
      <c r="A415" s="101"/>
      <c r="B415" s="101"/>
      <c r="C415" s="101"/>
      <c r="D415" s="101"/>
      <c r="E415" s="102"/>
    </row>
    <row r="416" spans="1:5">
      <c r="A416" s="101"/>
      <c r="B416" s="101"/>
      <c r="C416" s="101"/>
      <c r="D416" s="101"/>
      <c r="E416" s="102"/>
    </row>
    <row r="417" spans="1:5">
      <c r="A417" s="101"/>
      <c r="B417" s="101"/>
      <c r="C417" s="96"/>
      <c r="D417" s="101"/>
      <c r="E417" s="101"/>
    </row>
    <row r="418" spans="1:5">
      <c r="A418" s="101"/>
      <c r="B418" s="101"/>
      <c r="C418" s="101"/>
      <c r="D418" s="101"/>
      <c r="E418" s="101"/>
    </row>
    <row r="419" spans="1:5">
      <c r="A419" s="101"/>
      <c r="B419" s="101"/>
      <c r="C419" s="101"/>
      <c r="D419" s="101"/>
      <c r="E419" s="101"/>
    </row>
    <row r="420" spans="1:5">
      <c r="A420" s="101"/>
      <c r="B420" s="101"/>
      <c r="C420" s="101"/>
      <c r="D420" s="101"/>
      <c r="E420" s="101"/>
    </row>
    <row r="421" spans="1:5">
      <c r="A421" s="101"/>
      <c r="B421" s="101"/>
      <c r="C421" s="101"/>
      <c r="D421" s="101"/>
      <c r="E421" s="101"/>
    </row>
    <row r="422" spans="1:5">
      <c r="A422" s="101"/>
      <c r="B422" s="101"/>
      <c r="C422" s="101"/>
      <c r="D422" s="101"/>
      <c r="E422" s="101"/>
    </row>
    <row r="423" spans="1:5">
      <c r="A423" s="101"/>
      <c r="B423" s="101"/>
      <c r="C423" s="101"/>
      <c r="D423" s="101"/>
      <c r="E423" s="101"/>
    </row>
    <row r="424" spans="1:5">
      <c r="A424" s="101"/>
      <c r="B424" s="101"/>
      <c r="C424" s="101"/>
      <c r="D424" s="101"/>
      <c r="E424" s="101"/>
    </row>
    <row r="425" spans="1:5">
      <c r="A425" s="101"/>
      <c r="B425" s="101"/>
      <c r="C425" s="101"/>
      <c r="D425" s="101"/>
      <c r="E425" s="101"/>
    </row>
    <row r="426" spans="1:5">
      <c r="A426" s="101"/>
      <c r="B426" s="101"/>
      <c r="C426" s="101"/>
      <c r="D426" s="101"/>
      <c r="E426" s="101"/>
    </row>
    <row r="427" spans="1:5">
      <c r="A427" s="101"/>
      <c r="B427" s="101"/>
      <c r="C427" s="101"/>
      <c r="D427" s="101"/>
      <c r="E427" s="102"/>
    </row>
    <row r="428" spans="1:5">
      <c r="A428" s="101"/>
      <c r="B428" s="101"/>
      <c r="C428" s="101"/>
      <c r="D428" s="101"/>
      <c r="E428" s="102"/>
    </row>
  </sheetData>
  <sortState xmlns:xlrd2="http://schemas.microsoft.com/office/spreadsheetml/2017/richdata2" ref="A2:G1358">
    <sortCondition ref="E135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/>
  <dimension ref="A1:X44"/>
  <sheetViews>
    <sheetView showGridLines="0" showRowColHeaders="0" workbookViewId="0">
      <selection activeCell="C14" sqref="C14"/>
    </sheetView>
  </sheetViews>
  <sheetFormatPr defaultColWidth="11.3828125" defaultRowHeight="14.6"/>
  <cols>
    <col min="1" max="1" width="7.69140625" style="8" customWidth="1"/>
    <col min="2" max="2" width="3.3828125" style="8" customWidth="1"/>
    <col min="3" max="3" width="11.3828125" style="8"/>
    <col min="4" max="5" width="11.3828125" style="8" customWidth="1"/>
    <col min="6" max="7" width="8.53515625" style="8" customWidth="1"/>
    <col min="8" max="8" width="14.3046875" style="8" customWidth="1"/>
    <col min="9" max="9" width="2.84375" style="8" customWidth="1"/>
    <col min="10" max="11" width="8.53515625" style="8" customWidth="1"/>
    <col min="12" max="12" width="14.3046875" style="8" customWidth="1"/>
    <col min="13" max="13" width="2.84375" style="8" customWidth="1"/>
    <col min="14" max="15" width="8.53515625" style="8" customWidth="1"/>
    <col min="16" max="16" width="14.3046875" style="8" customWidth="1"/>
    <col min="17" max="17" width="12.69140625" style="8" bestFit="1" customWidth="1"/>
    <col min="18" max="18" width="16.84375" style="8" customWidth="1"/>
    <col min="19" max="19" width="2.15234375" style="8" customWidth="1"/>
    <col min="20" max="20" width="8.53515625" style="8" customWidth="1"/>
    <col min="21" max="21" width="2.15234375" style="8" customWidth="1"/>
    <col min="22" max="22" width="8.53515625" style="8" customWidth="1"/>
    <col min="23" max="23" width="2.15234375" style="8" customWidth="1"/>
    <col min="24" max="24" width="8.53515625" style="8" customWidth="1"/>
    <col min="25" max="16384" width="11.3828125" style="8"/>
  </cols>
  <sheetData>
    <row r="1" spans="1:21" ht="7.5" customHeight="1">
      <c r="A1" s="98"/>
    </row>
    <row r="2" spans="1:21" ht="39" customHeight="1">
      <c r="A2" s="16"/>
    </row>
    <row r="3" spans="1:21" ht="24.75" customHeight="1">
      <c r="A3" s="16"/>
      <c r="B3" s="44" t="s">
        <v>178</v>
      </c>
    </row>
    <row r="4" spans="1:21" ht="21.75" customHeight="1">
      <c r="A4" s="16"/>
      <c r="B4" s="18" t="s">
        <v>167</v>
      </c>
    </row>
    <row r="5" spans="1:21" ht="18.75" customHeight="1">
      <c r="A5" s="16"/>
      <c r="B5" s="43" t="s">
        <v>11</v>
      </c>
    </row>
    <row r="6" spans="1:21">
      <c r="A6" s="16"/>
    </row>
    <row r="7" spans="1:21" ht="15.75" customHeight="1">
      <c r="A7" s="16"/>
      <c r="B7" s="42" t="s">
        <v>101</v>
      </c>
    </row>
    <row r="8" spans="1:21" ht="11.25" customHeight="1">
      <c r="S8" s="61"/>
      <c r="U8" s="61"/>
    </row>
    <row r="9" spans="1:21" ht="18.899999999999999">
      <c r="B9" s="94"/>
      <c r="C9" s="62"/>
      <c r="D9" s="64"/>
      <c r="E9" s="64"/>
      <c r="F9" s="23" t="str">
        <f>CONCATENATE("País: ", VLOOKUP(ratings_data!A1,ratings_data!A3:V16,2))</f>
        <v>País: Panamá</v>
      </c>
      <c r="R9" s="126"/>
      <c r="S9" s="126"/>
      <c r="T9" s="126"/>
    </row>
    <row r="10" spans="1:21" ht="15">
      <c r="B10" s="62"/>
      <c r="C10" s="62"/>
      <c r="D10" s="45"/>
      <c r="E10" s="45"/>
      <c r="R10" s="45"/>
      <c r="S10" s="45"/>
      <c r="T10" s="45"/>
    </row>
    <row r="11" spans="1:21" ht="15">
      <c r="B11" s="45"/>
      <c r="C11" s="41"/>
      <c r="D11" s="41"/>
      <c r="E11" s="41"/>
      <c r="F11" s="125" t="s">
        <v>161</v>
      </c>
      <c r="G11" s="125"/>
      <c r="H11" s="125"/>
      <c r="I11" s="63"/>
      <c r="J11" s="125" t="s">
        <v>106</v>
      </c>
      <c r="K11" s="125"/>
      <c r="L11" s="125"/>
      <c r="M11" s="63"/>
      <c r="N11" s="125" t="s">
        <v>107</v>
      </c>
      <c r="O11" s="125"/>
      <c r="P11" s="125"/>
      <c r="Q11" s="65"/>
      <c r="R11" s="41"/>
      <c r="S11" s="41"/>
      <c r="T11" s="41"/>
    </row>
    <row r="12" spans="1:21" ht="15">
      <c r="B12" s="45"/>
      <c r="C12" s="41"/>
      <c r="D12" s="41"/>
      <c r="E12" s="41"/>
      <c r="F12" s="66" t="s">
        <v>102</v>
      </c>
      <c r="G12" s="66" t="s">
        <v>103</v>
      </c>
      <c r="H12" s="68" t="s">
        <v>104</v>
      </c>
      <c r="I12" s="77"/>
      <c r="J12" s="66" t="s">
        <v>102</v>
      </c>
      <c r="K12" s="66" t="s">
        <v>103</v>
      </c>
      <c r="L12" s="68" t="s">
        <v>104</v>
      </c>
      <c r="M12" s="77"/>
      <c r="N12" s="66" t="s">
        <v>102</v>
      </c>
      <c r="O12" s="66" t="s">
        <v>103</v>
      </c>
      <c r="P12" s="69" t="s">
        <v>104</v>
      </c>
      <c r="Q12" s="78"/>
      <c r="R12" s="41"/>
      <c r="S12" s="41"/>
      <c r="T12" s="41"/>
    </row>
    <row r="13" spans="1:21" ht="15">
      <c r="B13" s="45"/>
      <c r="C13" s="41"/>
      <c r="D13" s="41"/>
      <c r="E13" s="41"/>
      <c r="F13" s="67" t="str">
        <f>VLOOKUP(ratings_data!A1,ratings_data!A3:W16,4)</f>
        <v>Baa1</v>
      </c>
      <c r="G13" s="67" t="str">
        <f>VLOOKUP(ratings_data!A1,ratings_data!A3:W16,5)</f>
        <v>Baa1</v>
      </c>
      <c r="H13" s="72" t="str">
        <f>VLOOKUP(ratings_data!A1,ratings_data!A3:W16,6)</f>
        <v>Estable</v>
      </c>
      <c r="I13" s="78"/>
      <c r="J13" s="67" t="str">
        <f>VLOOKUP(ratings_data!A1,ratings_data!A3:W16,8)</f>
        <v>BBB+</v>
      </c>
      <c r="K13" s="67" t="str">
        <f>VLOOKUP(ratings_data!A1,ratings_data!A3:W16,9)</f>
        <v>BBB+</v>
      </c>
      <c r="L13" s="72" t="str">
        <f>VLOOKUP(ratings_data!A1,ratings_data!A3:W16,10)</f>
        <v>Estable</v>
      </c>
      <c r="M13" s="78"/>
      <c r="N13" s="67" t="str">
        <f>VLOOKUP(ratings_data!A1,ratings_data!A3:W16,12)</f>
        <v>BBB</v>
      </c>
      <c r="O13" s="71" t="str">
        <f>VLOOKUP(ratings_data!A1,ratings_data!A3:W16,13)</f>
        <v>BBB</v>
      </c>
      <c r="P13" s="71" t="str">
        <f>VLOOKUP(ratings_data!A1,ratings_data!A3:W16,14)</f>
        <v>Estable</v>
      </c>
      <c r="Q13" s="79"/>
      <c r="R13" s="41"/>
      <c r="S13" s="41"/>
      <c r="T13" s="41"/>
    </row>
    <row r="14" spans="1:21" ht="15">
      <c r="B14" s="45"/>
      <c r="C14" s="41"/>
      <c r="D14" s="41"/>
      <c r="E14" s="41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41"/>
      <c r="R14" s="41"/>
      <c r="S14" s="41"/>
      <c r="T14" s="41"/>
    </row>
    <row r="15" spans="1:21" ht="15">
      <c r="B15" s="45"/>
      <c r="C15" s="41"/>
      <c r="D15" s="41"/>
      <c r="E15" s="41"/>
      <c r="F15" s="60"/>
      <c r="G15" s="60"/>
      <c r="H15" s="60"/>
      <c r="I15" s="60"/>
      <c r="J15" s="60"/>
      <c r="K15" s="60"/>
      <c r="L15" s="60"/>
      <c r="M15" s="63"/>
      <c r="N15" s="63"/>
      <c r="O15" s="65"/>
      <c r="P15" s="65"/>
      <c r="Q15" s="41"/>
      <c r="R15" s="41"/>
      <c r="S15" s="41"/>
      <c r="T15" s="41"/>
    </row>
    <row r="16" spans="1:21" ht="15">
      <c r="B16" s="45"/>
      <c r="C16" s="41"/>
      <c r="D16" s="41"/>
      <c r="E16" s="41"/>
      <c r="F16" s="125" t="s">
        <v>108</v>
      </c>
      <c r="G16" s="125"/>
      <c r="H16" s="125"/>
      <c r="I16" s="60"/>
      <c r="J16" s="125" t="s">
        <v>109</v>
      </c>
      <c r="K16" s="125"/>
      <c r="L16" s="125"/>
      <c r="M16" s="63"/>
      <c r="N16" s="60"/>
      <c r="O16" s="65"/>
      <c r="P16" s="65"/>
      <c r="Q16" s="41"/>
      <c r="R16" s="41"/>
      <c r="S16" s="41"/>
      <c r="T16" s="41"/>
    </row>
    <row r="17" spans="1:20" ht="15">
      <c r="B17" s="45"/>
      <c r="C17" s="41"/>
      <c r="D17" s="41"/>
      <c r="E17" s="41"/>
      <c r="F17" s="66" t="s">
        <v>102</v>
      </c>
      <c r="G17" s="66" t="s">
        <v>103</v>
      </c>
      <c r="H17" s="69" t="s">
        <v>104</v>
      </c>
      <c r="I17" s="80"/>
      <c r="J17" s="66" t="s">
        <v>102</v>
      </c>
      <c r="K17" s="66" t="s">
        <v>103</v>
      </c>
      <c r="L17" s="70" t="s">
        <v>104</v>
      </c>
      <c r="M17" s="78"/>
      <c r="N17" s="65"/>
      <c r="O17" s="65"/>
      <c r="P17" s="65"/>
      <c r="Q17" s="41"/>
      <c r="R17" s="41"/>
      <c r="S17" s="41"/>
      <c r="T17" s="41"/>
    </row>
    <row r="18" spans="1:20" ht="15">
      <c r="B18" s="45"/>
      <c r="C18" s="41"/>
      <c r="D18" s="41"/>
      <c r="E18" s="41"/>
      <c r="F18" s="67" t="str">
        <f>VLOOKUP(ratings_data!A1,ratings_data!A3:W16,16)</f>
        <v>-</v>
      </c>
      <c r="G18" s="71" t="str">
        <f>VLOOKUP(ratings_data!A1,ratings_data!A3:W16,17)</f>
        <v>-</v>
      </c>
      <c r="H18" s="71" t="str">
        <f>VLOOKUP(ratings_data!A1,ratings_data!A3:W16,18)</f>
        <v>-</v>
      </c>
      <c r="I18" s="78"/>
      <c r="J18" s="67" t="str">
        <f>VLOOKUP(ratings_data!A1,ratings_data!A3:W16,20)</f>
        <v>-</v>
      </c>
      <c r="K18" s="71" t="str">
        <f>VLOOKUP(ratings_data!A1,ratings_data!A3:W16,21)</f>
        <v>-</v>
      </c>
      <c r="L18" s="71" t="str">
        <f>VLOOKUP(ratings_data!A1,ratings_data!A3:W16,22)</f>
        <v>-</v>
      </c>
      <c r="M18" s="78"/>
      <c r="N18" s="65"/>
      <c r="O18" s="65"/>
      <c r="P18" s="65"/>
      <c r="Q18" s="41"/>
      <c r="R18" s="41"/>
      <c r="S18" s="41"/>
      <c r="T18" s="41"/>
    </row>
    <row r="19" spans="1:20" ht="15">
      <c r="B19" s="45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15">
      <c r="B20" s="45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15">
      <c r="B21" s="45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15">
      <c r="B22" s="45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15">
      <c r="B23" s="45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</row>
    <row r="24" spans="1:20" ht="15">
      <c r="B24" s="45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30" spans="1:20" ht="11.25" customHeight="1"/>
    <row r="31" spans="1:20" ht="9" customHeight="1"/>
    <row r="32" spans="1:20" ht="7.5" customHeight="1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</row>
    <row r="33" spans="1:24" ht="7.5" customHeight="1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</row>
    <row r="34" spans="1:24" ht="7.5" customHeight="1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V34" s="46"/>
    </row>
    <row r="35" spans="1:24" ht="7.5" customHeight="1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46"/>
      <c r="V35" s="46"/>
    </row>
    <row r="36" spans="1:24" ht="7.5" customHeight="1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T36" s="46"/>
      <c r="V36" s="46"/>
    </row>
    <row r="41" spans="1:24" ht="16.5" customHeight="1"/>
    <row r="42" spans="1:24" ht="7.5" customHeight="1">
      <c r="X42" s="111"/>
    </row>
    <row r="43" spans="1:24" ht="7.5" customHeight="1">
      <c r="V43" s="112"/>
      <c r="X43" s="111"/>
    </row>
    <row r="44" spans="1:24" ht="7.5" customHeight="1">
      <c r="A44" s="113"/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V44" s="112"/>
      <c r="X44" s="111"/>
    </row>
  </sheetData>
  <mergeCells count="6">
    <mergeCell ref="F16:H16"/>
    <mergeCell ref="R9:T9"/>
    <mergeCell ref="F11:H11"/>
    <mergeCell ref="J11:L11"/>
    <mergeCell ref="N11:P11"/>
    <mergeCell ref="J16:L16"/>
  </mergeCells>
  <conditionalFormatting sqref="H13">
    <cfRule type="containsText" dxfId="5" priority="4" operator="containsText" text="Watch Neg.">
      <formula>NOT(ISERROR(SEARCH("Watch Neg.",H13)))</formula>
    </cfRule>
    <cfRule type="containsText" dxfId="4" priority="5" operator="containsText" text="Negativa">
      <formula>NOT(ISERROR(SEARCH("Negativa",H13)))</formula>
    </cfRule>
    <cfRule type="containsText" dxfId="3" priority="6" operator="containsText" text="Positiva">
      <formula>NOT(ISERROR(SEARCH("Positiva",H13)))</formula>
    </cfRule>
  </conditionalFormatting>
  <conditionalFormatting sqref="L13 P13 L18 H18">
    <cfRule type="containsText" dxfId="2" priority="1" operator="containsText" text="Positiva">
      <formula>NOT(ISERROR(SEARCH("Positiva",H13)))</formula>
    </cfRule>
    <cfRule type="containsText" dxfId="1" priority="2" operator="containsText" text="Watch Neg.">
      <formula>NOT(ISERROR(SEARCH("Watch Neg.",H13)))</formula>
    </cfRule>
    <cfRule type="containsText" dxfId="0" priority="3" operator="containsText" text="Negativa">
      <formula>NOT(ISERROR(SEARCH("Negativa",H13)))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7" r:id="rId4" name="Button 3">
              <controlPr defaultSize="0" print="0" autoFill="0" autoPict="0" macro="[0]!return_to_admin">
                <anchor moveWithCells="1" sizeWithCells="1">
                  <from>
                    <xdr:col>16</xdr:col>
                    <xdr:colOff>560614</xdr:colOff>
                    <xdr:row>9</xdr:row>
                    <xdr:rowOff>97971</xdr:rowOff>
                  </from>
                  <to>
                    <xdr:col>17</xdr:col>
                    <xdr:colOff>1050471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5" name="Button 4">
              <controlPr defaultSize="0" print="0" autoFill="0" autoPict="0" macro="[0]!maintenance">
                <anchor moveWithCells="1" sizeWithCells="1">
                  <from>
                    <xdr:col>16</xdr:col>
                    <xdr:colOff>560614</xdr:colOff>
                    <xdr:row>12</xdr:row>
                    <xdr:rowOff>21771</xdr:rowOff>
                  </from>
                  <to>
                    <xdr:col>17</xdr:col>
                    <xdr:colOff>1050471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6" name="List Box 5">
              <controlPr defaultSize="0" autoLine="0" autoPict="0">
                <anchor moveWithCells="1">
                  <from>
                    <xdr:col>1</xdr:col>
                    <xdr:colOff>10886</xdr:colOff>
                    <xdr:row>8</xdr:row>
                    <xdr:rowOff>59871</xdr:rowOff>
                  </from>
                  <to>
                    <xdr:col>3</xdr:col>
                    <xdr:colOff>555171</xdr:colOff>
                    <xdr:row>17</xdr:row>
                    <xdr:rowOff>136071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7" name="Button 6">
              <controlPr defaultSize="0" print="0" autoFill="0" autoPict="0" macro="[0]!sovereign">
                <anchor moveWithCells="1" sizeWithCells="1">
                  <from>
                    <xdr:col>16</xdr:col>
                    <xdr:colOff>571500</xdr:colOff>
                    <xdr:row>14</xdr:row>
                    <xdr:rowOff>136071</xdr:rowOff>
                  </from>
                  <to>
                    <xdr:col>17</xdr:col>
                    <xdr:colOff>1055914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0"/>
  <dimension ref="A1:W17"/>
  <sheetViews>
    <sheetView topLeftCell="C1" workbookViewId="0">
      <pane xSplit="1" ySplit="1" topLeftCell="D2" activePane="bottomRight" state="frozen"/>
      <selection activeCell="C1" sqref="C1"/>
      <selection pane="topRight" activeCell="D1" sqref="D1"/>
      <selection pane="bottomLeft" activeCell="C2" sqref="C2"/>
      <selection pane="bottomRight" activeCell="N23" sqref="N23"/>
    </sheetView>
  </sheetViews>
  <sheetFormatPr defaultColWidth="11.07421875" defaultRowHeight="14.6"/>
  <cols>
    <col min="1" max="1" width="3" style="7" bestFit="1" customWidth="1"/>
    <col min="2" max="3" width="10.53515625" bestFit="1" customWidth="1"/>
    <col min="4" max="4" width="5.69140625" style="7" bestFit="1" customWidth="1"/>
    <col min="5" max="5" width="6.15234375" style="7" bestFit="1" customWidth="1"/>
    <col min="6" max="6" width="8.84375" style="7" bestFit="1" customWidth="1"/>
    <col min="7" max="7" width="9" style="7" bestFit="1" customWidth="1"/>
    <col min="8" max="8" width="5.69140625" style="7" bestFit="1" customWidth="1"/>
    <col min="9" max="9" width="6.15234375" style="7" bestFit="1" customWidth="1"/>
    <col min="10" max="11" width="11.15234375" style="7" bestFit="1" customWidth="1"/>
    <col min="12" max="12" width="5.69140625" style="7" bestFit="1" customWidth="1"/>
    <col min="13" max="13" width="6.15234375" style="7" bestFit="1" customWidth="1"/>
    <col min="14" max="14" width="8.84375" style="7" bestFit="1" customWidth="1"/>
    <col min="15" max="15" width="9" style="7" bestFit="1" customWidth="1"/>
    <col min="16" max="17" width="7.15234375" style="7" bestFit="1" customWidth="1"/>
    <col min="18" max="18" width="8.84375" style="7" bestFit="1" customWidth="1"/>
    <col min="19" max="19" width="11.3046875" style="7" customWidth="1"/>
    <col min="20" max="20" width="5.69140625" style="7" bestFit="1" customWidth="1"/>
    <col min="21" max="21" width="6.15234375" style="7" bestFit="1" customWidth="1"/>
    <col min="22" max="22" width="8.84375" style="7" bestFit="1" customWidth="1"/>
    <col min="23" max="23" width="9" style="7" bestFit="1" customWidth="1"/>
  </cols>
  <sheetData>
    <row r="1" spans="1:23">
      <c r="A1" s="7">
        <v>10</v>
      </c>
      <c r="B1" s="127" t="s">
        <v>112</v>
      </c>
      <c r="C1" s="128"/>
      <c r="D1" s="133" t="s">
        <v>105</v>
      </c>
      <c r="E1" s="134"/>
      <c r="F1" s="134"/>
      <c r="G1" s="135"/>
      <c r="H1" s="133" t="s">
        <v>106</v>
      </c>
      <c r="I1" s="134"/>
      <c r="J1" s="134"/>
      <c r="K1" s="135"/>
      <c r="L1" s="133" t="s">
        <v>107</v>
      </c>
      <c r="M1" s="134"/>
      <c r="N1" s="134"/>
      <c r="O1" s="135"/>
      <c r="P1" s="133" t="s">
        <v>108</v>
      </c>
      <c r="Q1" s="134"/>
      <c r="R1" s="134"/>
      <c r="S1" s="135"/>
      <c r="T1" s="136" t="s">
        <v>152</v>
      </c>
      <c r="U1" s="136"/>
      <c r="V1" s="136"/>
      <c r="W1" s="136"/>
    </row>
    <row r="2" spans="1:23" s="7" customFormat="1">
      <c r="A2" s="73" t="s">
        <v>111</v>
      </c>
      <c r="B2" s="129"/>
      <c r="C2" s="130"/>
      <c r="D2" s="73" t="s">
        <v>102</v>
      </c>
      <c r="E2" s="73" t="s">
        <v>103</v>
      </c>
      <c r="F2" s="131" t="s">
        <v>104</v>
      </c>
      <c r="G2" s="132"/>
      <c r="H2" s="73" t="s">
        <v>102</v>
      </c>
      <c r="I2" s="73" t="s">
        <v>103</v>
      </c>
      <c r="J2" s="131" t="s">
        <v>104</v>
      </c>
      <c r="K2" s="132"/>
      <c r="L2" s="73" t="s">
        <v>102</v>
      </c>
      <c r="M2" s="73" t="s">
        <v>103</v>
      </c>
      <c r="N2" s="131" t="s">
        <v>104</v>
      </c>
      <c r="O2" s="132"/>
      <c r="P2" s="73" t="s">
        <v>102</v>
      </c>
      <c r="Q2" s="73" t="s">
        <v>103</v>
      </c>
      <c r="R2" s="131" t="s">
        <v>104</v>
      </c>
      <c r="S2" s="132"/>
      <c r="T2" s="73" t="s">
        <v>102</v>
      </c>
      <c r="U2" s="73" t="s">
        <v>103</v>
      </c>
      <c r="V2" s="137" t="s">
        <v>104</v>
      </c>
      <c r="W2" s="137"/>
    </row>
    <row r="3" spans="1:23">
      <c r="A3" s="73">
        <v>1</v>
      </c>
      <c r="B3" s="75" t="s">
        <v>110</v>
      </c>
      <c r="C3" s="75" t="s">
        <v>110</v>
      </c>
      <c r="D3" s="82" t="s">
        <v>169</v>
      </c>
      <c r="E3" s="115" t="s">
        <v>169</v>
      </c>
      <c r="F3" s="82" t="s">
        <v>168</v>
      </c>
      <c r="G3" s="115" t="s">
        <v>168</v>
      </c>
      <c r="H3" s="74" t="s">
        <v>142</v>
      </c>
      <c r="I3" s="74" t="s">
        <v>142</v>
      </c>
      <c r="J3" s="74"/>
      <c r="K3" s="74"/>
      <c r="L3" s="74" t="s">
        <v>142</v>
      </c>
      <c r="M3" s="73" t="s">
        <v>142</v>
      </c>
      <c r="N3" s="73" t="s">
        <v>129</v>
      </c>
      <c r="O3" s="74" t="s">
        <v>129</v>
      </c>
      <c r="P3" s="73" t="s">
        <v>136</v>
      </c>
      <c r="Q3" s="73" t="s">
        <v>147</v>
      </c>
      <c r="R3" s="73" t="s">
        <v>131</v>
      </c>
      <c r="S3" s="73" t="s">
        <v>155</v>
      </c>
      <c r="T3" s="73" t="s">
        <v>170</v>
      </c>
      <c r="U3" s="73" t="s">
        <v>142</v>
      </c>
      <c r="V3" s="73" t="s">
        <v>129</v>
      </c>
      <c r="W3" s="81" t="s">
        <v>129</v>
      </c>
    </row>
    <row r="4" spans="1:23">
      <c r="A4" s="73">
        <v>2</v>
      </c>
      <c r="B4" s="75" t="s">
        <v>113</v>
      </c>
      <c r="C4" s="75" t="s">
        <v>113</v>
      </c>
      <c r="D4" s="82" t="s">
        <v>128</v>
      </c>
      <c r="E4" s="82" t="s">
        <v>128</v>
      </c>
      <c r="F4" s="115" t="s">
        <v>168</v>
      </c>
      <c r="G4" s="115" t="s">
        <v>168</v>
      </c>
      <c r="H4" s="74" t="s">
        <v>141</v>
      </c>
      <c r="I4" s="74" t="s">
        <v>141</v>
      </c>
      <c r="J4" s="74" t="s">
        <v>129</v>
      </c>
      <c r="K4" s="74" t="s">
        <v>129</v>
      </c>
      <c r="L4" s="74" t="s">
        <v>153</v>
      </c>
      <c r="M4" s="74" t="s">
        <v>153</v>
      </c>
      <c r="N4" s="74" t="s">
        <v>129</v>
      </c>
      <c r="O4" s="74" t="s">
        <v>129</v>
      </c>
      <c r="P4" s="73" t="s">
        <v>133</v>
      </c>
      <c r="Q4" s="73" t="s">
        <v>133</v>
      </c>
      <c r="R4" s="73" t="s">
        <v>133</v>
      </c>
      <c r="S4" s="73" t="s">
        <v>133</v>
      </c>
      <c r="T4" s="73" t="s">
        <v>133</v>
      </c>
      <c r="U4" s="73" t="s">
        <v>133</v>
      </c>
      <c r="V4" s="73" t="s">
        <v>133</v>
      </c>
      <c r="W4" s="81" t="s">
        <v>133</v>
      </c>
    </row>
    <row r="5" spans="1:23">
      <c r="A5" s="73">
        <v>3</v>
      </c>
      <c r="B5" s="75" t="s">
        <v>114</v>
      </c>
      <c r="C5" s="75" t="s">
        <v>156</v>
      </c>
      <c r="D5" s="82" t="s">
        <v>130</v>
      </c>
      <c r="E5" s="82" t="s">
        <v>130</v>
      </c>
      <c r="F5" s="82" t="s">
        <v>131</v>
      </c>
      <c r="G5" s="115" t="s">
        <v>131</v>
      </c>
      <c r="H5" s="74" t="s">
        <v>141</v>
      </c>
      <c r="I5" s="74" t="s">
        <v>141</v>
      </c>
      <c r="J5" s="74" t="s">
        <v>127</v>
      </c>
      <c r="K5" s="74" t="s">
        <v>127</v>
      </c>
      <c r="L5" s="73" t="s">
        <v>141</v>
      </c>
      <c r="M5" s="73" t="s">
        <v>141</v>
      </c>
      <c r="N5" s="73" t="s">
        <v>131</v>
      </c>
      <c r="O5" s="73" t="s">
        <v>131</v>
      </c>
      <c r="P5" s="73" t="s">
        <v>175</v>
      </c>
      <c r="Q5" s="115" t="s">
        <v>175</v>
      </c>
      <c r="R5" s="73" t="s">
        <v>131</v>
      </c>
      <c r="S5" s="115" t="s">
        <v>131</v>
      </c>
      <c r="T5" s="73" t="s">
        <v>137</v>
      </c>
      <c r="U5" s="73" t="s">
        <v>151</v>
      </c>
      <c r="V5" s="73" t="s">
        <v>129</v>
      </c>
      <c r="W5" s="115" t="s">
        <v>129</v>
      </c>
    </row>
    <row r="6" spans="1:23">
      <c r="A6" s="73">
        <v>4</v>
      </c>
      <c r="B6" s="75" t="s">
        <v>115</v>
      </c>
      <c r="C6" s="75" t="s">
        <v>115</v>
      </c>
      <c r="D6" s="82" t="s">
        <v>171</v>
      </c>
      <c r="E6" s="82" t="s">
        <v>171</v>
      </c>
      <c r="F6" s="82" t="s">
        <v>131</v>
      </c>
      <c r="G6" s="82" t="s">
        <v>131</v>
      </c>
      <c r="H6" s="74" t="s">
        <v>145</v>
      </c>
      <c r="I6" s="74" t="s">
        <v>138</v>
      </c>
      <c r="J6" s="74" t="s">
        <v>131</v>
      </c>
      <c r="K6" s="74" t="s">
        <v>131</v>
      </c>
      <c r="L6" s="73" t="s">
        <v>143</v>
      </c>
      <c r="M6" s="73" t="s">
        <v>145</v>
      </c>
      <c r="N6" s="73" t="s">
        <v>131</v>
      </c>
      <c r="O6" s="73" t="s">
        <v>131</v>
      </c>
      <c r="P6" s="73" t="s">
        <v>133</v>
      </c>
      <c r="Q6" s="73" t="s">
        <v>133</v>
      </c>
      <c r="R6" s="76" t="s">
        <v>133</v>
      </c>
      <c r="S6" s="76" t="s">
        <v>133</v>
      </c>
      <c r="T6" s="115" t="s">
        <v>133</v>
      </c>
      <c r="U6" s="115" t="s">
        <v>133</v>
      </c>
      <c r="V6" s="115" t="s">
        <v>133</v>
      </c>
      <c r="W6" s="114" t="s">
        <v>133</v>
      </c>
    </row>
    <row r="7" spans="1:23">
      <c r="A7" s="73">
        <v>5</v>
      </c>
      <c r="B7" s="75" t="s">
        <v>116</v>
      </c>
      <c r="C7" s="75" t="s">
        <v>116</v>
      </c>
      <c r="D7" s="82" t="s">
        <v>132</v>
      </c>
      <c r="E7" s="115" t="s">
        <v>132</v>
      </c>
      <c r="F7" s="82" t="s">
        <v>131</v>
      </c>
      <c r="G7" s="82" t="s">
        <v>131</v>
      </c>
      <c r="H7" s="74" t="s">
        <v>146</v>
      </c>
      <c r="I7" s="74" t="s">
        <v>139</v>
      </c>
      <c r="J7" s="74" t="s">
        <v>131</v>
      </c>
      <c r="K7" s="74" t="s">
        <v>131</v>
      </c>
      <c r="L7" s="73" t="s">
        <v>139</v>
      </c>
      <c r="M7" s="73" t="s">
        <v>139</v>
      </c>
      <c r="N7" s="73" t="s">
        <v>129</v>
      </c>
      <c r="O7" s="73" t="s">
        <v>129</v>
      </c>
      <c r="P7" s="73" t="s">
        <v>139</v>
      </c>
      <c r="Q7" s="73" t="s">
        <v>139</v>
      </c>
      <c r="R7" s="73" t="s">
        <v>131</v>
      </c>
      <c r="S7" s="115" t="s">
        <v>131</v>
      </c>
      <c r="T7" s="115" t="s">
        <v>133</v>
      </c>
      <c r="U7" s="115" t="s">
        <v>133</v>
      </c>
      <c r="V7" s="115" t="s">
        <v>133</v>
      </c>
      <c r="W7" s="114" t="s">
        <v>133</v>
      </c>
    </row>
    <row r="8" spans="1:23">
      <c r="A8" s="73">
        <v>6</v>
      </c>
      <c r="B8" s="75" t="s">
        <v>117</v>
      </c>
      <c r="C8" s="75" t="s">
        <v>117</v>
      </c>
      <c r="D8" s="82" t="s">
        <v>172</v>
      </c>
      <c r="E8" s="82" t="s">
        <v>172</v>
      </c>
      <c r="F8" s="82" t="s">
        <v>129</v>
      </c>
      <c r="G8" s="115" t="s">
        <v>129</v>
      </c>
      <c r="H8" s="74" t="s">
        <v>153</v>
      </c>
      <c r="I8" s="74" t="s">
        <v>153</v>
      </c>
      <c r="J8" s="74" t="s">
        <v>129</v>
      </c>
      <c r="K8" s="74" t="s">
        <v>129</v>
      </c>
      <c r="L8" s="73" t="s">
        <v>153</v>
      </c>
      <c r="M8" s="73" t="s">
        <v>153</v>
      </c>
      <c r="N8" s="115" t="s">
        <v>129</v>
      </c>
      <c r="O8" s="115" t="s">
        <v>129</v>
      </c>
      <c r="P8" s="76" t="s">
        <v>133</v>
      </c>
      <c r="Q8" s="76" t="s">
        <v>133</v>
      </c>
      <c r="R8" s="76" t="s">
        <v>133</v>
      </c>
      <c r="S8" s="76" t="s">
        <v>133</v>
      </c>
      <c r="T8" s="115" t="s">
        <v>133</v>
      </c>
      <c r="U8" s="115" t="s">
        <v>133</v>
      </c>
      <c r="V8" s="115" t="s">
        <v>133</v>
      </c>
      <c r="W8" s="114" t="s">
        <v>133</v>
      </c>
    </row>
    <row r="9" spans="1:23">
      <c r="A9" s="73">
        <v>7</v>
      </c>
      <c r="B9" s="75" t="s">
        <v>118</v>
      </c>
      <c r="C9" s="75" t="s">
        <v>118</v>
      </c>
      <c r="D9" s="82" t="s">
        <v>126</v>
      </c>
      <c r="E9" s="82" t="s">
        <v>126</v>
      </c>
      <c r="F9" s="82" t="s">
        <v>129</v>
      </c>
      <c r="G9" s="82" t="s">
        <v>129</v>
      </c>
      <c r="H9" s="74" t="s">
        <v>150</v>
      </c>
      <c r="I9" s="74" t="s">
        <v>150</v>
      </c>
      <c r="J9" s="74" t="s">
        <v>131</v>
      </c>
      <c r="K9" s="74" t="s">
        <v>131</v>
      </c>
      <c r="L9" s="73" t="s">
        <v>150</v>
      </c>
      <c r="M9" s="73" t="s">
        <v>150</v>
      </c>
      <c r="N9" s="73" t="s">
        <v>131</v>
      </c>
      <c r="O9" s="73" t="s">
        <v>131</v>
      </c>
      <c r="P9" s="76" t="s">
        <v>133</v>
      </c>
      <c r="Q9" s="76" t="s">
        <v>133</v>
      </c>
      <c r="R9" s="76" t="s">
        <v>133</v>
      </c>
      <c r="S9" s="76" t="s">
        <v>133</v>
      </c>
      <c r="T9" s="115" t="s">
        <v>133</v>
      </c>
      <c r="U9" s="115" t="s">
        <v>133</v>
      </c>
      <c r="V9" s="115" t="s">
        <v>133</v>
      </c>
      <c r="W9" s="114" t="s">
        <v>133</v>
      </c>
    </row>
    <row r="10" spans="1:23">
      <c r="A10" s="73">
        <v>8</v>
      </c>
      <c r="B10" s="75" t="s">
        <v>119</v>
      </c>
      <c r="C10" s="75" t="s">
        <v>119</v>
      </c>
      <c r="D10" s="82" t="s">
        <v>126</v>
      </c>
      <c r="E10" s="82" t="s">
        <v>126</v>
      </c>
      <c r="F10" s="82" t="s">
        <v>131</v>
      </c>
      <c r="G10" s="82" t="s">
        <v>131</v>
      </c>
      <c r="H10" s="74" t="s">
        <v>150</v>
      </c>
      <c r="I10" s="74" t="s">
        <v>150</v>
      </c>
      <c r="J10" s="74" t="s">
        <v>131</v>
      </c>
      <c r="K10" s="74" t="s">
        <v>131</v>
      </c>
      <c r="L10" s="73" t="s">
        <v>150</v>
      </c>
      <c r="M10" s="73" t="s">
        <v>150</v>
      </c>
      <c r="N10" s="76" t="s">
        <v>131</v>
      </c>
      <c r="O10" s="76" t="s">
        <v>131</v>
      </c>
      <c r="P10" s="76" t="s">
        <v>133</v>
      </c>
      <c r="Q10" s="76" t="s">
        <v>133</v>
      </c>
      <c r="R10" s="76" t="s">
        <v>133</v>
      </c>
      <c r="S10" s="76" t="s">
        <v>133</v>
      </c>
      <c r="T10" s="115" t="s">
        <v>133</v>
      </c>
      <c r="U10" s="115" t="s">
        <v>133</v>
      </c>
      <c r="V10" s="115" t="s">
        <v>133</v>
      </c>
      <c r="W10" s="114" t="s">
        <v>133</v>
      </c>
    </row>
    <row r="11" spans="1:23">
      <c r="A11" s="73">
        <v>9</v>
      </c>
      <c r="B11" s="75" t="s">
        <v>120</v>
      </c>
      <c r="C11" s="75" t="s">
        <v>157</v>
      </c>
      <c r="D11" s="82" t="s">
        <v>134</v>
      </c>
      <c r="E11" s="82" t="s">
        <v>134</v>
      </c>
      <c r="F11" s="82" t="s">
        <v>129</v>
      </c>
      <c r="G11" s="82" t="s">
        <v>129</v>
      </c>
      <c r="H11" s="74" t="s">
        <v>140</v>
      </c>
      <c r="I11" s="74" t="s">
        <v>144</v>
      </c>
      <c r="J11" s="74" t="s">
        <v>129</v>
      </c>
      <c r="K11" s="74" t="s">
        <v>129</v>
      </c>
      <c r="L11" s="73" t="s">
        <v>139</v>
      </c>
      <c r="M11" s="73" t="s">
        <v>139</v>
      </c>
      <c r="N11" s="73" t="s">
        <v>131</v>
      </c>
      <c r="O11" s="73" t="s">
        <v>131</v>
      </c>
      <c r="P11" s="73" t="s">
        <v>148</v>
      </c>
      <c r="Q11" s="115" t="s">
        <v>148</v>
      </c>
      <c r="R11" s="73" t="s">
        <v>131</v>
      </c>
      <c r="S11" s="73" t="s">
        <v>131</v>
      </c>
      <c r="T11" s="73" t="s">
        <v>140</v>
      </c>
      <c r="U11" s="73" t="s">
        <v>144</v>
      </c>
      <c r="V11" s="73" t="s">
        <v>129</v>
      </c>
      <c r="W11" s="115" t="s">
        <v>129</v>
      </c>
    </row>
    <row r="12" spans="1:23">
      <c r="A12" s="73">
        <v>10</v>
      </c>
      <c r="B12" s="75" t="s">
        <v>121</v>
      </c>
      <c r="C12" s="75" t="s">
        <v>159</v>
      </c>
      <c r="D12" s="82" t="s">
        <v>173</v>
      </c>
      <c r="E12" s="115" t="s">
        <v>173</v>
      </c>
      <c r="F12" s="82" t="s">
        <v>131</v>
      </c>
      <c r="G12" s="82" t="s">
        <v>131</v>
      </c>
      <c r="H12" s="74" t="s">
        <v>140</v>
      </c>
      <c r="I12" s="74" t="s">
        <v>140</v>
      </c>
      <c r="J12" s="74" t="s">
        <v>131</v>
      </c>
      <c r="K12" s="74" t="s">
        <v>131</v>
      </c>
      <c r="L12" s="115" t="s">
        <v>139</v>
      </c>
      <c r="M12" s="115" t="s">
        <v>139</v>
      </c>
      <c r="N12" s="115" t="s">
        <v>131</v>
      </c>
      <c r="O12" s="115" t="s">
        <v>131</v>
      </c>
      <c r="P12" s="76" t="s">
        <v>133</v>
      </c>
      <c r="Q12" s="76" t="s">
        <v>133</v>
      </c>
      <c r="R12" s="76" t="s">
        <v>133</v>
      </c>
      <c r="S12" s="76" t="s">
        <v>133</v>
      </c>
      <c r="T12" s="115" t="s">
        <v>133</v>
      </c>
      <c r="U12" s="115" t="s">
        <v>133</v>
      </c>
      <c r="V12" s="115" t="s">
        <v>133</v>
      </c>
      <c r="W12" s="114" t="s">
        <v>133</v>
      </c>
    </row>
    <row r="13" spans="1:23">
      <c r="A13" s="73">
        <v>11</v>
      </c>
      <c r="B13" s="75" t="s">
        <v>122</v>
      </c>
      <c r="C13" s="75" t="s">
        <v>122</v>
      </c>
      <c r="D13" s="82" t="s">
        <v>135</v>
      </c>
      <c r="E13" s="82" t="s">
        <v>135</v>
      </c>
      <c r="F13" s="82" t="s">
        <v>131</v>
      </c>
      <c r="G13" s="82" t="s">
        <v>131</v>
      </c>
      <c r="H13" s="74" t="s">
        <v>137</v>
      </c>
      <c r="I13" s="74" t="s">
        <v>137</v>
      </c>
      <c r="J13" s="74" t="s">
        <v>131</v>
      </c>
      <c r="K13" s="74" t="s">
        <v>131</v>
      </c>
      <c r="L13" s="73" t="s">
        <v>151</v>
      </c>
      <c r="M13" s="73" t="s">
        <v>151</v>
      </c>
      <c r="N13" s="73" t="s">
        <v>131</v>
      </c>
      <c r="O13" s="73" t="s">
        <v>131</v>
      </c>
      <c r="P13" s="76" t="s">
        <v>133</v>
      </c>
      <c r="Q13" s="76" t="s">
        <v>133</v>
      </c>
      <c r="R13" s="76" t="s">
        <v>133</v>
      </c>
      <c r="S13" s="76" t="s">
        <v>133</v>
      </c>
      <c r="T13" s="115" t="s">
        <v>133</v>
      </c>
      <c r="U13" s="115" t="s">
        <v>133</v>
      </c>
      <c r="V13" s="115" t="s">
        <v>133</v>
      </c>
      <c r="W13" s="114" t="s">
        <v>133</v>
      </c>
    </row>
    <row r="14" spans="1:23">
      <c r="A14" s="73">
        <v>12</v>
      </c>
      <c r="B14" s="75" t="s">
        <v>123</v>
      </c>
      <c r="C14" s="75" t="s">
        <v>158</v>
      </c>
      <c r="D14" s="82" t="s">
        <v>134</v>
      </c>
      <c r="E14" s="82" t="s">
        <v>134</v>
      </c>
      <c r="F14" s="82" t="s">
        <v>131</v>
      </c>
      <c r="G14" s="82" t="s">
        <v>131</v>
      </c>
      <c r="H14" s="74" t="s">
        <v>140</v>
      </c>
      <c r="I14" s="74" t="s">
        <v>144</v>
      </c>
      <c r="J14" s="74" t="s">
        <v>131</v>
      </c>
      <c r="K14" s="74" t="s">
        <v>131</v>
      </c>
      <c r="L14" s="73" t="s">
        <v>140</v>
      </c>
      <c r="M14" s="73" t="s">
        <v>144</v>
      </c>
      <c r="N14" s="73" t="s">
        <v>131</v>
      </c>
      <c r="O14" s="73" t="s">
        <v>131</v>
      </c>
      <c r="P14" s="76" t="s">
        <v>133</v>
      </c>
      <c r="Q14" s="76" t="s">
        <v>133</v>
      </c>
      <c r="R14" s="76" t="s">
        <v>133</v>
      </c>
      <c r="S14" s="76" t="s">
        <v>133</v>
      </c>
      <c r="T14" s="73" t="s">
        <v>140</v>
      </c>
      <c r="U14" s="73" t="s">
        <v>144</v>
      </c>
      <c r="V14" s="73" t="s">
        <v>131</v>
      </c>
      <c r="W14" s="115" t="s">
        <v>131</v>
      </c>
    </row>
    <row r="15" spans="1:23">
      <c r="A15" s="73">
        <v>13</v>
      </c>
      <c r="B15" s="75" t="s">
        <v>124</v>
      </c>
      <c r="C15" s="75" t="s">
        <v>124</v>
      </c>
      <c r="D15" s="82" t="s">
        <v>132</v>
      </c>
      <c r="E15" s="115" t="s">
        <v>132</v>
      </c>
      <c r="F15" s="82" t="s">
        <v>131</v>
      </c>
      <c r="G15" s="82" t="s">
        <v>131</v>
      </c>
      <c r="H15" s="74" t="s">
        <v>139</v>
      </c>
      <c r="I15" s="74" t="s">
        <v>139</v>
      </c>
      <c r="J15" s="74" t="s">
        <v>131</v>
      </c>
      <c r="K15" s="74" t="s">
        <v>131</v>
      </c>
      <c r="L15" s="73" t="s">
        <v>146</v>
      </c>
      <c r="M15" s="73" t="s">
        <v>146</v>
      </c>
      <c r="N15" s="73" t="s">
        <v>129</v>
      </c>
      <c r="O15" s="73" t="s">
        <v>129</v>
      </c>
      <c r="P15" s="73" t="s">
        <v>149</v>
      </c>
      <c r="Q15" s="115" t="s">
        <v>149</v>
      </c>
      <c r="R15" s="73" t="s">
        <v>131</v>
      </c>
      <c r="S15" s="115" t="s">
        <v>131</v>
      </c>
      <c r="T15" s="115" t="s">
        <v>133</v>
      </c>
      <c r="U15" s="115" t="s">
        <v>133</v>
      </c>
      <c r="V15" s="115" t="s">
        <v>133</v>
      </c>
      <c r="W15" s="114" t="s">
        <v>133</v>
      </c>
    </row>
    <row r="16" spans="1:23">
      <c r="A16" s="73">
        <v>14</v>
      </c>
      <c r="B16" s="75" t="s">
        <v>125</v>
      </c>
      <c r="C16" s="75" t="s">
        <v>125</v>
      </c>
      <c r="D16" s="82" t="s">
        <v>165</v>
      </c>
      <c r="E16" s="82" t="s">
        <v>165</v>
      </c>
      <c r="F16" s="82" t="s">
        <v>131</v>
      </c>
      <c r="G16" s="82" t="s">
        <v>131</v>
      </c>
      <c r="H16" s="74" t="s">
        <v>170</v>
      </c>
      <c r="I16" s="74" t="s">
        <v>154</v>
      </c>
      <c r="J16" s="74"/>
      <c r="K16" s="74" t="s">
        <v>129</v>
      </c>
      <c r="L16" s="73" t="s">
        <v>174</v>
      </c>
      <c r="M16" s="73" t="s">
        <v>174</v>
      </c>
      <c r="N16" s="73" t="s">
        <v>133</v>
      </c>
      <c r="O16" s="73" t="s">
        <v>133</v>
      </c>
      <c r="P16" s="73" t="s">
        <v>133</v>
      </c>
      <c r="Q16" s="73" t="s">
        <v>133</v>
      </c>
      <c r="R16" s="115" t="s">
        <v>133</v>
      </c>
      <c r="S16" s="115" t="s">
        <v>133</v>
      </c>
      <c r="T16" s="115" t="s">
        <v>133</v>
      </c>
      <c r="U16" s="115" t="s">
        <v>133</v>
      </c>
      <c r="V16" s="115" t="s">
        <v>133</v>
      </c>
      <c r="W16" s="114" t="s">
        <v>133</v>
      </c>
    </row>
    <row r="17" spans="3:22">
      <c r="C17" s="7"/>
      <c r="D17"/>
      <c r="F17"/>
      <c r="H17"/>
      <c r="J17"/>
      <c r="L17"/>
      <c r="N17"/>
      <c r="P17"/>
      <c r="R17"/>
      <c r="T17"/>
      <c r="V17"/>
    </row>
  </sheetData>
  <mergeCells count="11">
    <mergeCell ref="B1:C2"/>
    <mergeCell ref="R2:S2"/>
    <mergeCell ref="P1:S1"/>
    <mergeCell ref="T1:W1"/>
    <mergeCell ref="V2:W2"/>
    <mergeCell ref="F2:G2"/>
    <mergeCell ref="J2:K2"/>
    <mergeCell ref="H1:K1"/>
    <mergeCell ref="N2:O2"/>
    <mergeCell ref="L1:O1"/>
    <mergeCell ref="D1:G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9"/>
  <dimension ref="A1:N1000"/>
  <sheetViews>
    <sheetView workbookViewId="0">
      <selection activeCell="D22" sqref="D22"/>
    </sheetView>
  </sheetViews>
  <sheetFormatPr defaultColWidth="11.07421875" defaultRowHeight="14.6"/>
  <cols>
    <col min="1" max="1" width="11.3828125" style="7"/>
    <col min="2" max="2" width="13.15234375" style="7" bestFit="1" customWidth="1"/>
    <col min="3" max="3" width="56" style="7" bestFit="1" customWidth="1"/>
    <col min="4" max="4" width="58.3828125" style="7" bestFit="1" customWidth="1"/>
    <col min="5" max="5" width="18" style="7" bestFit="1" customWidth="1"/>
    <col min="6" max="6" width="22.69140625" style="7" bestFit="1" customWidth="1"/>
    <col min="7" max="7" width="21.3828125" style="7" bestFit="1" customWidth="1"/>
    <col min="8" max="8" width="32" style="7" bestFit="1" customWidth="1"/>
    <col min="9" max="9" width="14.3046875" style="7" bestFit="1" customWidth="1"/>
    <col min="10" max="10" width="28" style="7" bestFit="1" customWidth="1"/>
    <col min="11" max="11" width="10.3828125" style="7" bestFit="1" customWidth="1"/>
    <col min="12" max="12" width="163.69140625" style="7" bestFit="1" customWidth="1"/>
  </cols>
  <sheetData>
    <row r="1" spans="1:14">
      <c r="A1" s="28" t="s">
        <v>81</v>
      </c>
      <c r="B1" s="28" t="s">
        <v>20</v>
      </c>
      <c r="C1" s="28" t="s">
        <v>24</v>
      </c>
      <c r="D1" s="28" t="s">
        <v>34</v>
      </c>
      <c r="E1" s="28" t="s">
        <v>35</v>
      </c>
      <c r="F1" s="28" t="s">
        <v>45</v>
      </c>
      <c r="G1" s="28" t="s">
        <v>46</v>
      </c>
      <c r="H1" s="28" t="s">
        <v>26</v>
      </c>
      <c r="I1" s="28" t="s">
        <v>31</v>
      </c>
      <c r="J1" s="28" t="s">
        <v>27</v>
      </c>
      <c r="K1" s="28" t="s">
        <v>25</v>
      </c>
      <c r="L1" s="28" t="s">
        <v>25</v>
      </c>
      <c r="N1" s="26"/>
    </row>
    <row r="2" spans="1:14">
      <c r="A2" s="7">
        <f>IF(B2="","",(ROW(B2)-1))</f>
        <v>1</v>
      </c>
      <c r="B2" s="7" t="s">
        <v>22</v>
      </c>
      <c r="C2" s="7" t="s">
        <v>78</v>
      </c>
      <c r="D2" s="7" t="s">
        <v>83</v>
      </c>
      <c r="E2" s="7" t="s">
        <v>4</v>
      </c>
      <c r="F2" s="7" t="s">
        <v>28</v>
      </c>
      <c r="G2" s="7" t="s">
        <v>28</v>
      </c>
      <c r="H2" s="7" t="s">
        <v>29</v>
      </c>
      <c r="I2" s="7" t="s">
        <v>32</v>
      </c>
      <c r="J2" s="7" t="s">
        <v>82</v>
      </c>
      <c r="K2" s="39" t="str">
        <f>IF(L2=""," ","Ver enlace")</f>
        <v>Ver enlace</v>
      </c>
      <c r="L2" s="7" t="s">
        <v>76</v>
      </c>
      <c r="N2" s="26"/>
    </row>
    <row r="3" spans="1:14">
      <c r="A3" s="7">
        <f t="shared" ref="A3:A66" si="0">IF(B3="","",(ROW(B3)-1))</f>
        <v>2</v>
      </c>
      <c r="B3" s="7" t="s">
        <v>22</v>
      </c>
      <c r="C3" s="7" t="s">
        <v>80</v>
      </c>
      <c r="D3" s="7" t="s">
        <v>83</v>
      </c>
      <c r="E3" s="7" t="s">
        <v>4</v>
      </c>
      <c r="F3" s="7" t="s">
        <v>28</v>
      </c>
      <c r="G3" s="7" t="s">
        <v>28</v>
      </c>
      <c r="H3" s="7" t="s">
        <v>29</v>
      </c>
      <c r="I3" s="7" t="s">
        <v>32</v>
      </c>
      <c r="J3" s="7" t="s">
        <v>82</v>
      </c>
      <c r="K3" s="39" t="str">
        <f t="shared" ref="K3:K18" si="1">IF(L3=""," ","Ver enlace")</f>
        <v>Ver enlace</v>
      </c>
      <c r="L3" s="7" t="s">
        <v>77</v>
      </c>
      <c r="N3" s="26"/>
    </row>
    <row r="4" spans="1:14">
      <c r="A4" s="7">
        <f t="shared" si="0"/>
        <v>3</v>
      </c>
      <c r="B4" s="7" t="s">
        <v>22</v>
      </c>
      <c r="C4" s="7" t="s">
        <v>79</v>
      </c>
      <c r="D4" s="7" t="s">
        <v>83</v>
      </c>
      <c r="E4" s="7" t="s">
        <v>4</v>
      </c>
      <c r="F4" s="7" t="s">
        <v>28</v>
      </c>
      <c r="G4" s="7" t="s">
        <v>28</v>
      </c>
      <c r="H4" s="7" t="s">
        <v>29</v>
      </c>
      <c r="I4" s="7" t="s">
        <v>32</v>
      </c>
      <c r="J4" s="7" t="s">
        <v>82</v>
      </c>
      <c r="K4" s="39" t="str">
        <f t="shared" si="1"/>
        <v>Ver enlace</v>
      </c>
      <c r="L4" s="7" t="s">
        <v>75</v>
      </c>
    </row>
    <row r="5" spans="1:14">
      <c r="A5" s="7">
        <f t="shared" si="0"/>
        <v>4</v>
      </c>
      <c r="B5" s="7" t="s">
        <v>22</v>
      </c>
      <c r="C5" s="7" t="s">
        <v>30</v>
      </c>
      <c r="D5" s="7" t="s">
        <v>83</v>
      </c>
      <c r="E5" s="7" t="s">
        <v>0</v>
      </c>
      <c r="F5" s="7" t="s">
        <v>33</v>
      </c>
      <c r="G5" s="7" t="s">
        <v>33</v>
      </c>
      <c r="H5" s="7" t="s">
        <v>37</v>
      </c>
      <c r="I5" s="7" t="s">
        <v>41</v>
      </c>
      <c r="J5" s="7" t="s">
        <v>98</v>
      </c>
      <c r="K5" s="39" t="str">
        <f t="shared" si="1"/>
        <v>Ver enlace</v>
      </c>
      <c r="L5" s="7" t="s">
        <v>36</v>
      </c>
    </row>
    <row r="6" spans="1:14">
      <c r="A6" s="7">
        <f t="shared" si="0"/>
        <v>5</v>
      </c>
      <c r="B6" s="7" t="s">
        <v>21</v>
      </c>
      <c r="C6" s="7" t="s">
        <v>38</v>
      </c>
      <c r="D6" s="7" t="s">
        <v>83</v>
      </c>
      <c r="E6" s="7" t="s">
        <v>97</v>
      </c>
      <c r="F6" s="7" t="s">
        <v>28</v>
      </c>
      <c r="G6" s="7" t="s">
        <v>97</v>
      </c>
      <c r="H6" s="7" t="s">
        <v>97</v>
      </c>
      <c r="I6" s="7" t="s">
        <v>41</v>
      </c>
      <c r="J6" s="7" t="s">
        <v>40</v>
      </c>
      <c r="K6" s="39" t="str">
        <f t="shared" si="1"/>
        <v>Ver enlace</v>
      </c>
      <c r="L6" s="7" t="s">
        <v>42</v>
      </c>
    </row>
    <row r="7" spans="1:14">
      <c r="A7" s="7">
        <f t="shared" si="0"/>
        <v>6</v>
      </c>
      <c r="B7" s="7" t="s">
        <v>21</v>
      </c>
      <c r="C7" s="7" t="s">
        <v>39</v>
      </c>
      <c r="D7" s="7" t="s">
        <v>83</v>
      </c>
      <c r="E7" s="7" t="s">
        <v>97</v>
      </c>
      <c r="F7" s="7" t="s">
        <v>28</v>
      </c>
      <c r="G7" s="7" t="s">
        <v>97</v>
      </c>
      <c r="H7" s="7" t="s">
        <v>97</v>
      </c>
      <c r="I7" s="7" t="s">
        <v>41</v>
      </c>
      <c r="J7" s="7" t="s">
        <v>40</v>
      </c>
      <c r="K7" s="39" t="str">
        <f t="shared" si="1"/>
        <v>Ver enlace</v>
      </c>
      <c r="L7" s="7" t="s">
        <v>42</v>
      </c>
    </row>
    <row r="8" spans="1:14">
      <c r="A8" s="7">
        <f t="shared" si="0"/>
        <v>7</v>
      </c>
      <c r="B8" s="7" t="s">
        <v>21</v>
      </c>
      <c r="C8" s="7" t="s">
        <v>43</v>
      </c>
      <c r="D8" s="7" t="s">
        <v>83</v>
      </c>
      <c r="E8" s="7" t="s">
        <v>97</v>
      </c>
      <c r="F8" s="7" t="s">
        <v>28</v>
      </c>
      <c r="G8" s="7" t="s">
        <v>97</v>
      </c>
      <c r="H8" s="7" t="s">
        <v>97</v>
      </c>
      <c r="I8" s="7" t="s">
        <v>41</v>
      </c>
      <c r="J8" s="7" t="s">
        <v>40</v>
      </c>
      <c r="K8" s="39" t="str">
        <f t="shared" si="1"/>
        <v>Ver enlace</v>
      </c>
      <c r="L8" s="7" t="s">
        <v>42</v>
      </c>
    </row>
    <row r="9" spans="1:14">
      <c r="A9" s="7">
        <f t="shared" si="0"/>
        <v>8</v>
      </c>
      <c r="B9" s="7" t="s">
        <v>21</v>
      </c>
      <c r="C9" s="7" t="s">
        <v>44</v>
      </c>
      <c r="D9" s="7" t="s">
        <v>83</v>
      </c>
      <c r="E9" s="7" t="s">
        <v>97</v>
      </c>
      <c r="F9" s="7" t="s">
        <v>28</v>
      </c>
      <c r="G9" s="7" t="s">
        <v>97</v>
      </c>
      <c r="H9" s="7" t="s">
        <v>97</v>
      </c>
      <c r="I9" s="7" t="s">
        <v>41</v>
      </c>
      <c r="J9" s="7" t="s">
        <v>40</v>
      </c>
      <c r="K9" s="39" t="str">
        <f t="shared" si="1"/>
        <v>Ver enlace</v>
      </c>
      <c r="L9" s="7" t="s">
        <v>42</v>
      </c>
    </row>
    <row r="10" spans="1:14">
      <c r="A10" s="7">
        <f t="shared" si="0"/>
        <v>9</v>
      </c>
      <c r="B10" s="7" t="s">
        <v>23</v>
      </c>
      <c r="C10" s="7" t="s">
        <v>66</v>
      </c>
      <c r="D10" s="7" t="s">
        <v>83</v>
      </c>
      <c r="E10" s="7" t="s">
        <v>4</v>
      </c>
      <c r="F10" s="7" t="s">
        <v>53</v>
      </c>
      <c r="G10" s="7" t="s">
        <v>53</v>
      </c>
      <c r="H10" s="7" t="s">
        <v>97</v>
      </c>
      <c r="I10" s="7" t="s">
        <v>41</v>
      </c>
      <c r="J10" s="7" t="s">
        <v>67</v>
      </c>
      <c r="K10" s="39" t="s">
        <v>69</v>
      </c>
      <c r="L10" s="7" t="s">
        <v>68</v>
      </c>
    </row>
    <row r="11" spans="1:14">
      <c r="A11" s="7">
        <f t="shared" si="0"/>
        <v>10</v>
      </c>
      <c r="B11" s="7" t="s">
        <v>23</v>
      </c>
      <c r="C11" s="7" t="s">
        <v>70</v>
      </c>
      <c r="D11" s="7" t="s">
        <v>83</v>
      </c>
      <c r="E11" s="7" t="s">
        <v>4</v>
      </c>
      <c r="F11" s="7" t="s">
        <v>53</v>
      </c>
      <c r="G11" s="7" t="s">
        <v>53</v>
      </c>
      <c r="H11" s="7" t="s">
        <v>97</v>
      </c>
      <c r="I11" s="7" t="s">
        <v>41</v>
      </c>
      <c r="J11" s="7" t="s">
        <v>71</v>
      </c>
      <c r="K11" s="39" t="s">
        <v>69</v>
      </c>
      <c r="L11" s="7" t="s">
        <v>72</v>
      </c>
    </row>
    <row r="12" spans="1:14">
      <c r="A12" s="7">
        <f t="shared" si="0"/>
        <v>11</v>
      </c>
      <c r="B12" s="7" t="s">
        <v>21</v>
      </c>
      <c r="C12" s="7" t="s">
        <v>73</v>
      </c>
      <c r="D12" s="7" t="s">
        <v>96</v>
      </c>
      <c r="E12" s="7" t="s">
        <v>97</v>
      </c>
      <c r="F12" s="7" t="s">
        <v>48</v>
      </c>
      <c r="G12" s="7" t="s">
        <v>48</v>
      </c>
      <c r="H12" s="7" t="s">
        <v>97</v>
      </c>
      <c r="I12" s="7" t="s">
        <v>41</v>
      </c>
      <c r="J12" s="7" t="s">
        <v>71</v>
      </c>
      <c r="K12" s="39" t="s">
        <v>69</v>
      </c>
      <c r="L12" s="7" t="s">
        <v>74</v>
      </c>
    </row>
    <row r="13" spans="1:14">
      <c r="A13" s="7">
        <f t="shared" si="0"/>
        <v>12</v>
      </c>
      <c r="B13" s="7" t="s">
        <v>22</v>
      </c>
      <c r="C13" s="7" t="s">
        <v>47</v>
      </c>
      <c r="D13" s="7" t="s">
        <v>84</v>
      </c>
      <c r="E13" s="7" t="s">
        <v>51</v>
      </c>
      <c r="F13" s="7" t="s">
        <v>48</v>
      </c>
      <c r="G13" s="7" t="s">
        <v>48</v>
      </c>
      <c r="H13" s="7" t="s">
        <v>49</v>
      </c>
      <c r="I13" s="7" t="s">
        <v>32</v>
      </c>
      <c r="J13" s="7" t="s">
        <v>82</v>
      </c>
      <c r="K13" s="39" t="str">
        <f t="shared" si="1"/>
        <v>Ver enlace</v>
      </c>
      <c r="L13" s="7" t="s">
        <v>50</v>
      </c>
    </row>
    <row r="14" spans="1:14">
      <c r="A14" s="7">
        <f t="shared" si="0"/>
        <v>13</v>
      </c>
      <c r="B14" s="7" t="s">
        <v>22</v>
      </c>
      <c r="C14" s="7" t="s">
        <v>52</v>
      </c>
      <c r="D14" s="7" t="s">
        <v>85</v>
      </c>
      <c r="E14" s="7" t="s">
        <v>97</v>
      </c>
      <c r="F14" s="7" t="s">
        <v>53</v>
      </c>
      <c r="G14" s="7" t="s">
        <v>53</v>
      </c>
      <c r="H14" s="7" t="s">
        <v>97</v>
      </c>
      <c r="I14" s="7" t="s">
        <v>41</v>
      </c>
      <c r="J14" s="7" t="s">
        <v>54</v>
      </c>
      <c r="K14" s="39" t="str">
        <f t="shared" si="1"/>
        <v>Ver enlace</v>
      </c>
      <c r="L14" s="7" t="s">
        <v>55</v>
      </c>
    </row>
    <row r="15" spans="1:14">
      <c r="A15" s="7">
        <f t="shared" si="0"/>
        <v>14</v>
      </c>
      <c r="B15" s="7" t="s">
        <v>22</v>
      </c>
      <c r="C15" s="7" t="s">
        <v>56</v>
      </c>
      <c r="D15" s="7" t="s">
        <v>85</v>
      </c>
      <c r="E15" s="7" t="s">
        <v>97</v>
      </c>
      <c r="F15" s="7" t="s">
        <v>48</v>
      </c>
      <c r="G15" s="7" t="s">
        <v>48</v>
      </c>
      <c r="H15" s="7" t="s">
        <v>97</v>
      </c>
      <c r="I15" s="7" t="s">
        <v>41</v>
      </c>
      <c r="J15" s="7" t="s">
        <v>57</v>
      </c>
      <c r="K15" s="39" t="str">
        <f t="shared" si="1"/>
        <v>Ver enlace</v>
      </c>
      <c r="L15" s="7" t="s">
        <v>58</v>
      </c>
    </row>
    <row r="16" spans="1:14">
      <c r="A16" s="7">
        <f t="shared" si="0"/>
        <v>15</v>
      </c>
      <c r="B16" s="7" t="s">
        <v>22</v>
      </c>
      <c r="C16" s="7" t="s">
        <v>60</v>
      </c>
      <c r="D16" s="7" t="s">
        <v>85</v>
      </c>
      <c r="E16" s="7" t="s">
        <v>97</v>
      </c>
      <c r="F16" s="7" t="s">
        <v>48</v>
      </c>
      <c r="G16" s="7" t="s">
        <v>48</v>
      </c>
      <c r="H16" s="7" t="s">
        <v>97</v>
      </c>
      <c r="I16" s="7" t="s">
        <v>32</v>
      </c>
      <c r="J16" s="7" t="s">
        <v>82</v>
      </c>
      <c r="K16" s="39" t="str">
        <f t="shared" si="1"/>
        <v>Ver enlace</v>
      </c>
      <c r="L16" s="7" t="s">
        <v>59</v>
      </c>
    </row>
    <row r="17" spans="1:12">
      <c r="A17" s="7">
        <f t="shared" si="0"/>
        <v>16</v>
      </c>
      <c r="B17" s="7" t="s">
        <v>22</v>
      </c>
      <c r="C17" s="7" t="s">
        <v>61</v>
      </c>
      <c r="D17" s="7" t="s">
        <v>84</v>
      </c>
      <c r="E17" s="7" t="s">
        <v>51</v>
      </c>
      <c r="F17" s="7" t="s">
        <v>48</v>
      </c>
      <c r="G17" s="7" t="s">
        <v>48</v>
      </c>
      <c r="H17" s="7" t="s">
        <v>62</v>
      </c>
      <c r="I17" s="7" t="s">
        <v>32</v>
      </c>
      <c r="J17" s="7" t="s">
        <v>82</v>
      </c>
      <c r="K17" s="39" t="str">
        <f t="shared" si="1"/>
        <v>Ver enlace</v>
      </c>
      <c r="L17" s="7" t="s">
        <v>63</v>
      </c>
    </row>
    <row r="18" spans="1:12">
      <c r="A18" s="7">
        <f t="shared" si="0"/>
        <v>17</v>
      </c>
      <c r="B18" s="7" t="s">
        <v>22</v>
      </c>
      <c r="C18" s="7" t="s">
        <v>65</v>
      </c>
      <c r="D18" s="7" t="s">
        <v>84</v>
      </c>
      <c r="E18" s="7" t="s">
        <v>51</v>
      </c>
      <c r="F18" s="7" t="s">
        <v>48</v>
      </c>
      <c r="G18" s="7" t="s">
        <v>48</v>
      </c>
      <c r="H18" s="7" t="s">
        <v>62</v>
      </c>
      <c r="I18" s="7" t="s">
        <v>32</v>
      </c>
      <c r="J18" s="7" t="s">
        <v>82</v>
      </c>
      <c r="K18" s="39" t="str">
        <f t="shared" si="1"/>
        <v>Ver enlace</v>
      </c>
      <c r="L18" s="7" t="s">
        <v>64</v>
      </c>
    </row>
    <row r="19" spans="1:12">
      <c r="A19" s="7" t="str">
        <f t="shared" si="0"/>
        <v/>
      </c>
      <c r="K19" s="39"/>
    </row>
    <row r="20" spans="1:12">
      <c r="A20" s="7" t="str">
        <f t="shared" si="0"/>
        <v/>
      </c>
      <c r="K20" s="39"/>
    </row>
    <row r="21" spans="1:12">
      <c r="A21" s="7" t="str">
        <f t="shared" si="0"/>
        <v/>
      </c>
      <c r="K21" s="39"/>
    </row>
    <row r="22" spans="1:12">
      <c r="A22" s="7" t="str">
        <f t="shared" si="0"/>
        <v/>
      </c>
      <c r="K22" s="39"/>
    </row>
    <row r="23" spans="1:12">
      <c r="A23" s="7" t="str">
        <f t="shared" si="0"/>
        <v/>
      </c>
      <c r="K23" s="39"/>
    </row>
    <row r="24" spans="1:12">
      <c r="A24" s="7" t="str">
        <f t="shared" si="0"/>
        <v/>
      </c>
      <c r="K24" s="39"/>
    </row>
    <row r="25" spans="1:12">
      <c r="A25" s="7" t="str">
        <f t="shared" si="0"/>
        <v/>
      </c>
      <c r="K25" s="39"/>
    </row>
    <row r="26" spans="1:12">
      <c r="A26" s="7" t="str">
        <f t="shared" si="0"/>
        <v/>
      </c>
      <c r="K26" s="39"/>
    </row>
    <row r="27" spans="1:12">
      <c r="A27" s="7" t="str">
        <f t="shared" si="0"/>
        <v/>
      </c>
      <c r="K27" s="39"/>
    </row>
    <row r="28" spans="1:12">
      <c r="A28" s="7" t="str">
        <f t="shared" si="0"/>
        <v/>
      </c>
      <c r="K28" s="39"/>
    </row>
    <row r="29" spans="1:12">
      <c r="A29" s="7" t="str">
        <f t="shared" si="0"/>
        <v/>
      </c>
      <c r="K29" s="39"/>
    </row>
    <row r="30" spans="1:12">
      <c r="A30" s="7" t="str">
        <f t="shared" si="0"/>
        <v/>
      </c>
      <c r="K30" s="39"/>
    </row>
    <row r="31" spans="1:12">
      <c r="A31" s="7" t="str">
        <f t="shared" si="0"/>
        <v/>
      </c>
      <c r="K31" s="39"/>
    </row>
    <row r="32" spans="1:12">
      <c r="A32" s="7" t="str">
        <f t="shared" si="0"/>
        <v/>
      </c>
      <c r="K32" s="39"/>
    </row>
    <row r="33" spans="1:11">
      <c r="A33" s="7" t="str">
        <f t="shared" si="0"/>
        <v/>
      </c>
      <c r="K33" s="39"/>
    </row>
    <row r="34" spans="1:11">
      <c r="A34" s="7" t="str">
        <f t="shared" si="0"/>
        <v/>
      </c>
      <c r="K34" s="39"/>
    </row>
    <row r="35" spans="1:11">
      <c r="A35" s="7" t="str">
        <f t="shared" si="0"/>
        <v/>
      </c>
      <c r="K35" s="39"/>
    </row>
    <row r="36" spans="1:11">
      <c r="A36" s="7" t="str">
        <f t="shared" si="0"/>
        <v/>
      </c>
      <c r="K36" s="39"/>
    </row>
    <row r="37" spans="1:11">
      <c r="A37" s="7" t="str">
        <f t="shared" si="0"/>
        <v/>
      </c>
      <c r="K37" s="39"/>
    </row>
    <row r="38" spans="1:11">
      <c r="A38" s="7" t="str">
        <f t="shared" si="0"/>
        <v/>
      </c>
      <c r="K38" s="39"/>
    </row>
    <row r="39" spans="1:11">
      <c r="A39" s="7" t="str">
        <f t="shared" si="0"/>
        <v/>
      </c>
      <c r="K39" s="39"/>
    </row>
    <row r="40" spans="1:11">
      <c r="A40" s="7" t="str">
        <f t="shared" si="0"/>
        <v/>
      </c>
      <c r="K40" s="39"/>
    </row>
    <row r="41" spans="1:11">
      <c r="A41" s="7" t="str">
        <f t="shared" si="0"/>
        <v/>
      </c>
      <c r="K41" s="39"/>
    </row>
    <row r="42" spans="1:11">
      <c r="A42" s="7" t="str">
        <f t="shared" si="0"/>
        <v/>
      </c>
      <c r="K42" s="39"/>
    </row>
    <row r="43" spans="1:11">
      <c r="A43" s="7" t="str">
        <f t="shared" si="0"/>
        <v/>
      </c>
      <c r="K43" s="39"/>
    </row>
    <row r="44" spans="1:11">
      <c r="A44" s="7" t="str">
        <f t="shared" si="0"/>
        <v/>
      </c>
      <c r="K44" s="39"/>
    </row>
    <row r="45" spans="1:11">
      <c r="A45" s="7" t="str">
        <f t="shared" si="0"/>
        <v/>
      </c>
      <c r="K45" s="39"/>
    </row>
    <row r="46" spans="1:11">
      <c r="A46" s="7" t="str">
        <f t="shared" si="0"/>
        <v/>
      </c>
      <c r="K46" s="39"/>
    </row>
    <row r="47" spans="1:11">
      <c r="A47" s="7" t="str">
        <f t="shared" si="0"/>
        <v/>
      </c>
      <c r="K47" s="39"/>
    </row>
    <row r="48" spans="1:11">
      <c r="A48" s="7" t="str">
        <f t="shared" si="0"/>
        <v/>
      </c>
      <c r="K48" s="39"/>
    </row>
    <row r="49" spans="1:11">
      <c r="A49" s="7" t="str">
        <f t="shared" si="0"/>
        <v/>
      </c>
      <c r="K49" s="39"/>
    </row>
    <row r="50" spans="1:11">
      <c r="A50" s="7" t="str">
        <f t="shared" si="0"/>
        <v/>
      </c>
      <c r="K50" s="39"/>
    </row>
    <row r="51" spans="1:11">
      <c r="A51" s="7" t="str">
        <f t="shared" si="0"/>
        <v/>
      </c>
      <c r="K51" s="39"/>
    </row>
    <row r="52" spans="1:11">
      <c r="A52" s="7" t="str">
        <f t="shared" si="0"/>
        <v/>
      </c>
      <c r="K52" s="39"/>
    </row>
    <row r="53" spans="1:11">
      <c r="A53" s="7" t="str">
        <f t="shared" si="0"/>
        <v/>
      </c>
      <c r="K53" s="39"/>
    </row>
    <row r="54" spans="1:11">
      <c r="A54" s="7" t="str">
        <f t="shared" si="0"/>
        <v/>
      </c>
      <c r="K54" s="39"/>
    </row>
    <row r="55" spans="1:11">
      <c r="A55" s="7" t="str">
        <f t="shared" si="0"/>
        <v/>
      </c>
      <c r="K55" s="39"/>
    </row>
    <row r="56" spans="1:11">
      <c r="A56" s="7" t="str">
        <f t="shared" si="0"/>
        <v/>
      </c>
      <c r="K56" s="39"/>
    </row>
    <row r="57" spans="1:11">
      <c r="A57" s="7" t="str">
        <f t="shared" si="0"/>
        <v/>
      </c>
      <c r="K57" s="39"/>
    </row>
    <row r="58" spans="1:11">
      <c r="A58" s="7" t="str">
        <f t="shared" si="0"/>
        <v/>
      </c>
      <c r="K58" s="39"/>
    </row>
    <row r="59" spans="1:11">
      <c r="A59" s="7" t="str">
        <f t="shared" si="0"/>
        <v/>
      </c>
      <c r="K59" s="39"/>
    </row>
    <row r="60" spans="1:11">
      <c r="A60" s="7" t="str">
        <f t="shared" si="0"/>
        <v/>
      </c>
      <c r="K60" s="39"/>
    </row>
    <row r="61" spans="1:11">
      <c r="A61" s="7" t="str">
        <f t="shared" si="0"/>
        <v/>
      </c>
      <c r="K61" s="39"/>
    </row>
    <row r="62" spans="1:11">
      <c r="A62" s="7" t="str">
        <f t="shared" si="0"/>
        <v/>
      </c>
      <c r="K62" s="39"/>
    </row>
    <row r="63" spans="1:11">
      <c r="A63" s="7" t="str">
        <f t="shared" si="0"/>
        <v/>
      </c>
      <c r="K63" s="39"/>
    </row>
    <row r="64" spans="1:11">
      <c r="A64" s="7" t="str">
        <f t="shared" si="0"/>
        <v/>
      </c>
      <c r="K64" s="39"/>
    </row>
    <row r="65" spans="1:11">
      <c r="A65" s="7" t="str">
        <f t="shared" si="0"/>
        <v/>
      </c>
      <c r="K65" s="39"/>
    </row>
    <row r="66" spans="1:11">
      <c r="A66" s="7" t="str">
        <f t="shared" si="0"/>
        <v/>
      </c>
      <c r="K66" s="39"/>
    </row>
    <row r="67" spans="1:11">
      <c r="A67" s="7" t="str">
        <f t="shared" ref="A67:A130" si="2">IF(B67="","",(ROW(B67)-1))</f>
        <v/>
      </c>
      <c r="K67" s="39"/>
    </row>
    <row r="68" spans="1:11">
      <c r="A68" s="7" t="str">
        <f t="shared" si="2"/>
        <v/>
      </c>
      <c r="K68" s="39"/>
    </row>
    <row r="69" spans="1:11">
      <c r="A69" s="7" t="str">
        <f t="shared" si="2"/>
        <v/>
      </c>
      <c r="K69" s="39"/>
    </row>
    <row r="70" spans="1:11">
      <c r="A70" s="7" t="str">
        <f t="shared" si="2"/>
        <v/>
      </c>
      <c r="K70" s="39"/>
    </row>
    <row r="71" spans="1:11">
      <c r="A71" s="7" t="str">
        <f t="shared" si="2"/>
        <v/>
      </c>
      <c r="K71" s="39"/>
    </row>
    <row r="72" spans="1:11">
      <c r="A72" s="7" t="str">
        <f t="shared" si="2"/>
        <v/>
      </c>
      <c r="K72" s="39"/>
    </row>
    <row r="73" spans="1:11">
      <c r="A73" s="7" t="str">
        <f t="shared" si="2"/>
        <v/>
      </c>
      <c r="K73" s="39"/>
    </row>
    <row r="74" spans="1:11">
      <c r="A74" s="7" t="str">
        <f t="shared" si="2"/>
        <v/>
      </c>
      <c r="K74" s="39"/>
    </row>
    <row r="75" spans="1:11">
      <c r="A75" s="7" t="str">
        <f t="shared" si="2"/>
        <v/>
      </c>
      <c r="K75" s="39"/>
    </row>
    <row r="76" spans="1:11">
      <c r="A76" s="7" t="str">
        <f t="shared" si="2"/>
        <v/>
      </c>
      <c r="K76" s="39"/>
    </row>
    <row r="77" spans="1:11">
      <c r="A77" s="7" t="str">
        <f t="shared" si="2"/>
        <v/>
      </c>
      <c r="K77" s="39"/>
    </row>
    <row r="78" spans="1:11">
      <c r="A78" s="7" t="str">
        <f t="shared" si="2"/>
        <v/>
      </c>
      <c r="K78" s="39"/>
    </row>
    <row r="79" spans="1:11">
      <c r="A79" s="7" t="str">
        <f t="shared" si="2"/>
        <v/>
      </c>
      <c r="K79" s="39"/>
    </row>
    <row r="80" spans="1:11">
      <c r="A80" s="7" t="str">
        <f t="shared" si="2"/>
        <v/>
      </c>
      <c r="K80" s="39"/>
    </row>
    <row r="81" spans="1:11">
      <c r="A81" s="7" t="str">
        <f t="shared" si="2"/>
        <v/>
      </c>
      <c r="K81" s="39"/>
    </row>
    <row r="82" spans="1:11">
      <c r="A82" s="7" t="str">
        <f t="shared" si="2"/>
        <v/>
      </c>
      <c r="K82" s="39"/>
    </row>
    <row r="83" spans="1:11">
      <c r="A83" s="7" t="str">
        <f t="shared" si="2"/>
        <v/>
      </c>
      <c r="K83" s="39"/>
    </row>
    <row r="84" spans="1:11">
      <c r="A84" s="7" t="str">
        <f t="shared" si="2"/>
        <v/>
      </c>
      <c r="K84" s="39"/>
    </row>
    <row r="85" spans="1:11">
      <c r="A85" s="7" t="str">
        <f t="shared" si="2"/>
        <v/>
      </c>
      <c r="K85" s="39"/>
    </row>
    <row r="86" spans="1:11">
      <c r="A86" s="7" t="str">
        <f t="shared" si="2"/>
        <v/>
      </c>
      <c r="K86" s="39"/>
    </row>
    <row r="87" spans="1:11">
      <c r="A87" s="7" t="str">
        <f t="shared" si="2"/>
        <v/>
      </c>
      <c r="K87" s="39"/>
    </row>
    <row r="88" spans="1:11">
      <c r="A88" s="7" t="str">
        <f t="shared" si="2"/>
        <v/>
      </c>
      <c r="K88" s="39"/>
    </row>
    <row r="89" spans="1:11">
      <c r="A89" s="7" t="str">
        <f t="shared" si="2"/>
        <v/>
      </c>
      <c r="K89" s="39"/>
    </row>
    <row r="90" spans="1:11">
      <c r="A90" s="7" t="str">
        <f t="shared" si="2"/>
        <v/>
      </c>
      <c r="K90" s="39"/>
    </row>
    <row r="91" spans="1:11">
      <c r="A91" s="7" t="str">
        <f t="shared" si="2"/>
        <v/>
      </c>
      <c r="K91" s="39"/>
    </row>
    <row r="92" spans="1:11">
      <c r="A92" s="7" t="str">
        <f t="shared" si="2"/>
        <v/>
      </c>
      <c r="K92" s="39"/>
    </row>
    <row r="93" spans="1:11">
      <c r="A93" s="7" t="str">
        <f t="shared" si="2"/>
        <v/>
      </c>
      <c r="K93" s="39"/>
    </row>
    <row r="94" spans="1:11">
      <c r="A94" s="7" t="str">
        <f t="shared" si="2"/>
        <v/>
      </c>
      <c r="K94" s="39"/>
    </row>
    <row r="95" spans="1:11">
      <c r="A95" s="7" t="str">
        <f t="shared" si="2"/>
        <v/>
      </c>
      <c r="K95" s="39"/>
    </row>
    <row r="96" spans="1:11">
      <c r="A96" s="7" t="str">
        <f t="shared" si="2"/>
        <v/>
      </c>
      <c r="K96" s="39"/>
    </row>
    <row r="97" spans="1:11">
      <c r="A97" s="7" t="str">
        <f t="shared" si="2"/>
        <v/>
      </c>
      <c r="K97" s="39"/>
    </row>
    <row r="98" spans="1:11">
      <c r="A98" s="7" t="str">
        <f t="shared" si="2"/>
        <v/>
      </c>
      <c r="K98" s="39"/>
    </row>
    <row r="99" spans="1:11">
      <c r="A99" s="7" t="str">
        <f t="shared" si="2"/>
        <v/>
      </c>
      <c r="K99" s="39"/>
    </row>
    <row r="100" spans="1:11">
      <c r="A100" s="7" t="str">
        <f t="shared" si="2"/>
        <v/>
      </c>
      <c r="K100" s="39"/>
    </row>
    <row r="101" spans="1:11">
      <c r="A101" s="7" t="str">
        <f t="shared" si="2"/>
        <v/>
      </c>
      <c r="K101" s="39"/>
    </row>
    <row r="102" spans="1:11">
      <c r="A102" s="7" t="str">
        <f t="shared" si="2"/>
        <v/>
      </c>
      <c r="K102" s="39"/>
    </row>
    <row r="103" spans="1:11">
      <c r="A103" s="7" t="str">
        <f t="shared" si="2"/>
        <v/>
      </c>
      <c r="K103" s="39"/>
    </row>
    <row r="104" spans="1:11">
      <c r="A104" s="7" t="str">
        <f t="shared" si="2"/>
        <v/>
      </c>
      <c r="K104" s="39"/>
    </row>
    <row r="105" spans="1:11">
      <c r="A105" s="7" t="str">
        <f t="shared" si="2"/>
        <v/>
      </c>
      <c r="K105" s="39"/>
    </row>
    <row r="106" spans="1:11">
      <c r="A106" s="7" t="str">
        <f t="shared" si="2"/>
        <v/>
      </c>
      <c r="K106" s="39"/>
    </row>
    <row r="107" spans="1:11">
      <c r="A107" s="7" t="str">
        <f t="shared" si="2"/>
        <v/>
      </c>
      <c r="K107" s="39"/>
    </row>
    <row r="108" spans="1:11">
      <c r="A108" s="7" t="str">
        <f t="shared" si="2"/>
        <v/>
      </c>
      <c r="K108" s="39"/>
    </row>
    <row r="109" spans="1:11">
      <c r="A109" s="7" t="str">
        <f t="shared" si="2"/>
        <v/>
      </c>
      <c r="K109" s="39"/>
    </row>
    <row r="110" spans="1:11">
      <c r="A110" s="7" t="str">
        <f t="shared" si="2"/>
        <v/>
      </c>
      <c r="K110" s="39"/>
    </row>
    <row r="111" spans="1:11">
      <c r="A111" s="7" t="str">
        <f t="shared" si="2"/>
        <v/>
      </c>
      <c r="K111" s="39"/>
    </row>
    <row r="112" spans="1:11">
      <c r="A112" s="7" t="str">
        <f t="shared" si="2"/>
        <v/>
      </c>
      <c r="K112" s="39"/>
    </row>
    <row r="113" spans="1:11">
      <c r="A113" s="7" t="str">
        <f t="shared" si="2"/>
        <v/>
      </c>
      <c r="K113" s="39"/>
    </row>
    <row r="114" spans="1:11">
      <c r="A114" s="7" t="str">
        <f t="shared" si="2"/>
        <v/>
      </c>
      <c r="K114" s="39"/>
    </row>
    <row r="115" spans="1:11">
      <c r="A115" s="7" t="str">
        <f t="shared" si="2"/>
        <v/>
      </c>
      <c r="K115" s="39"/>
    </row>
    <row r="116" spans="1:11">
      <c r="A116" s="7" t="str">
        <f t="shared" si="2"/>
        <v/>
      </c>
      <c r="K116" s="39"/>
    </row>
    <row r="117" spans="1:11">
      <c r="A117" s="7" t="str">
        <f t="shared" si="2"/>
        <v/>
      </c>
      <c r="K117" s="39"/>
    </row>
    <row r="118" spans="1:11">
      <c r="A118" s="7" t="str">
        <f t="shared" si="2"/>
        <v/>
      </c>
      <c r="K118" s="39"/>
    </row>
    <row r="119" spans="1:11">
      <c r="A119" s="7" t="str">
        <f t="shared" si="2"/>
        <v/>
      </c>
      <c r="K119" s="39"/>
    </row>
    <row r="120" spans="1:11">
      <c r="A120" s="7" t="str">
        <f t="shared" si="2"/>
        <v/>
      </c>
      <c r="K120" s="39"/>
    </row>
    <row r="121" spans="1:11">
      <c r="A121" s="7" t="str">
        <f t="shared" si="2"/>
        <v/>
      </c>
      <c r="K121" s="39"/>
    </row>
    <row r="122" spans="1:11">
      <c r="A122" s="7" t="str">
        <f t="shared" si="2"/>
        <v/>
      </c>
      <c r="K122" s="39"/>
    </row>
    <row r="123" spans="1:11">
      <c r="A123" s="7" t="str">
        <f t="shared" si="2"/>
        <v/>
      </c>
      <c r="K123" s="39"/>
    </row>
    <row r="124" spans="1:11">
      <c r="A124" s="7" t="str">
        <f t="shared" si="2"/>
        <v/>
      </c>
      <c r="K124" s="39"/>
    </row>
    <row r="125" spans="1:11">
      <c r="A125" s="7" t="str">
        <f t="shared" si="2"/>
        <v/>
      </c>
      <c r="K125" s="39"/>
    </row>
    <row r="126" spans="1:11">
      <c r="A126" s="7" t="str">
        <f t="shared" si="2"/>
        <v/>
      </c>
      <c r="K126" s="39"/>
    </row>
    <row r="127" spans="1:11">
      <c r="A127" s="7" t="str">
        <f t="shared" si="2"/>
        <v/>
      </c>
      <c r="K127" s="39"/>
    </row>
    <row r="128" spans="1:11">
      <c r="A128" s="7" t="str">
        <f t="shared" si="2"/>
        <v/>
      </c>
      <c r="K128" s="39"/>
    </row>
    <row r="129" spans="1:11">
      <c r="A129" s="7" t="str">
        <f t="shared" si="2"/>
        <v/>
      </c>
      <c r="K129" s="39"/>
    </row>
    <row r="130" spans="1:11">
      <c r="A130" s="7" t="str">
        <f t="shared" si="2"/>
        <v/>
      </c>
      <c r="K130" s="39"/>
    </row>
    <row r="131" spans="1:11">
      <c r="A131" s="7" t="str">
        <f t="shared" ref="A131:A194" si="3">IF(B131="","",(ROW(B131)-1))</f>
        <v/>
      </c>
      <c r="K131" s="39"/>
    </row>
    <row r="132" spans="1:11">
      <c r="A132" s="7" t="str">
        <f t="shared" si="3"/>
        <v/>
      </c>
      <c r="K132" s="39"/>
    </row>
    <row r="133" spans="1:11">
      <c r="A133" s="7" t="str">
        <f t="shared" si="3"/>
        <v/>
      </c>
      <c r="K133" s="39"/>
    </row>
    <row r="134" spans="1:11">
      <c r="A134" s="7" t="str">
        <f t="shared" si="3"/>
        <v/>
      </c>
      <c r="K134" s="39"/>
    </row>
    <row r="135" spans="1:11">
      <c r="A135" s="7" t="str">
        <f t="shared" si="3"/>
        <v/>
      </c>
      <c r="K135" s="39"/>
    </row>
    <row r="136" spans="1:11">
      <c r="A136" s="7" t="str">
        <f t="shared" si="3"/>
        <v/>
      </c>
      <c r="K136" s="39"/>
    </row>
    <row r="137" spans="1:11">
      <c r="A137" s="7" t="str">
        <f t="shared" si="3"/>
        <v/>
      </c>
      <c r="K137" s="39"/>
    </row>
    <row r="138" spans="1:11">
      <c r="A138" s="7" t="str">
        <f t="shared" si="3"/>
        <v/>
      </c>
      <c r="K138" s="39"/>
    </row>
    <row r="139" spans="1:11">
      <c r="A139" s="7" t="str">
        <f t="shared" si="3"/>
        <v/>
      </c>
      <c r="K139" s="39"/>
    </row>
    <row r="140" spans="1:11">
      <c r="A140" s="7" t="str">
        <f t="shared" si="3"/>
        <v/>
      </c>
      <c r="K140" s="39"/>
    </row>
    <row r="141" spans="1:11">
      <c r="A141" s="7" t="str">
        <f t="shared" si="3"/>
        <v/>
      </c>
      <c r="K141" s="39"/>
    </row>
    <row r="142" spans="1:11">
      <c r="A142" s="7" t="str">
        <f t="shared" si="3"/>
        <v/>
      </c>
      <c r="K142" s="39"/>
    </row>
    <row r="143" spans="1:11">
      <c r="A143" s="7" t="str">
        <f t="shared" si="3"/>
        <v/>
      </c>
      <c r="K143" s="39"/>
    </row>
    <row r="144" spans="1:11">
      <c r="A144" s="7" t="str">
        <f t="shared" si="3"/>
        <v/>
      </c>
      <c r="K144" s="39"/>
    </row>
    <row r="145" spans="1:11">
      <c r="A145" s="7" t="str">
        <f t="shared" si="3"/>
        <v/>
      </c>
      <c r="K145" s="39"/>
    </row>
    <row r="146" spans="1:11">
      <c r="A146" s="7" t="str">
        <f t="shared" si="3"/>
        <v/>
      </c>
      <c r="K146" s="39"/>
    </row>
    <row r="147" spans="1:11">
      <c r="A147" s="7" t="str">
        <f t="shared" si="3"/>
        <v/>
      </c>
      <c r="K147" s="39"/>
    </row>
    <row r="148" spans="1:11">
      <c r="A148" s="7" t="str">
        <f t="shared" si="3"/>
        <v/>
      </c>
      <c r="K148" s="39"/>
    </row>
    <row r="149" spans="1:11">
      <c r="A149" s="7" t="str">
        <f t="shared" si="3"/>
        <v/>
      </c>
      <c r="K149" s="39"/>
    </row>
    <row r="150" spans="1:11">
      <c r="A150" s="7" t="str">
        <f t="shared" si="3"/>
        <v/>
      </c>
      <c r="K150" s="39"/>
    </row>
    <row r="151" spans="1:11">
      <c r="A151" s="7" t="str">
        <f t="shared" si="3"/>
        <v/>
      </c>
      <c r="K151" s="39"/>
    </row>
    <row r="152" spans="1:11">
      <c r="A152" s="7" t="str">
        <f t="shared" si="3"/>
        <v/>
      </c>
      <c r="K152" s="39"/>
    </row>
    <row r="153" spans="1:11">
      <c r="A153" s="7" t="str">
        <f t="shared" si="3"/>
        <v/>
      </c>
      <c r="K153" s="39"/>
    </row>
    <row r="154" spans="1:11">
      <c r="A154" s="7" t="str">
        <f t="shared" si="3"/>
        <v/>
      </c>
      <c r="K154" s="39"/>
    </row>
    <row r="155" spans="1:11">
      <c r="A155" s="7" t="str">
        <f t="shared" si="3"/>
        <v/>
      </c>
      <c r="K155" s="39"/>
    </row>
    <row r="156" spans="1:11">
      <c r="A156" s="7" t="str">
        <f t="shared" si="3"/>
        <v/>
      </c>
      <c r="K156" s="39"/>
    </row>
    <row r="157" spans="1:11">
      <c r="A157" s="7" t="str">
        <f t="shared" si="3"/>
        <v/>
      </c>
      <c r="K157" s="39"/>
    </row>
    <row r="158" spans="1:11">
      <c r="A158" s="7" t="str">
        <f t="shared" si="3"/>
        <v/>
      </c>
      <c r="K158" s="39"/>
    </row>
    <row r="159" spans="1:11">
      <c r="A159" s="7" t="str">
        <f t="shared" si="3"/>
        <v/>
      </c>
      <c r="K159" s="39"/>
    </row>
    <row r="160" spans="1:11">
      <c r="A160" s="7" t="str">
        <f t="shared" si="3"/>
        <v/>
      </c>
      <c r="K160" s="39"/>
    </row>
    <row r="161" spans="1:11">
      <c r="A161" s="7" t="str">
        <f t="shared" si="3"/>
        <v/>
      </c>
      <c r="K161" s="39"/>
    </row>
    <row r="162" spans="1:11">
      <c r="A162" s="7" t="str">
        <f t="shared" si="3"/>
        <v/>
      </c>
      <c r="K162" s="39"/>
    </row>
    <row r="163" spans="1:11">
      <c r="A163" s="7" t="str">
        <f t="shared" si="3"/>
        <v/>
      </c>
      <c r="K163" s="39"/>
    </row>
    <row r="164" spans="1:11">
      <c r="A164" s="7" t="str">
        <f t="shared" si="3"/>
        <v/>
      </c>
      <c r="K164" s="39"/>
    </row>
    <row r="165" spans="1:11">
      <c r="A165" s="7" t="str">
        <f t="shared" si="3"/>
        <v/>
      </c>
      <c r="K165" s="39"/>
    </row>
    <row r="166" spans="1:11">
      <c r="A166" s="7" t="str">
        <f t="shared" si="3"/>
        <v/>
      </c>
      <c r="K166" s="39"/>
    </row>
    <row r="167" spans="1:11">
      <c r="A167" s="7" t="str">
        <f t="shared" si="3"/>
        <v/>
      </c>
      <c r="K167" s="39"/>
    </row>
    <row r="168" spans="1:11">
      <c r="A168" s="7" t="str">
        <f t="shared" si="3"/>
        <v/>
      </c>
      <c r="K168" s="39"/>
    </row>
    <row r="169" spans="1:11">
      <c r="A169" s="7" t="str">
        <f t="shared" si="3"/>
        <v/>
      </c>
      <c r="K169" s="39"/>
    </row>
    <row r="170" spans="1:11">
      <c r="A170" s="7" t="str">
        <f t="shared" si="3"/>
        <v/>
      </c>
      <c r="K170" s="39"/>
    </row>
    <row r="171" spans="1:11">
      <c r="A171" s="7" t="str">
        <f t="shared" si="3"/>
        <v/>
      </c>
      <c r="K171" s="39"/>
    </row>
    <row r="172" spans="1:11">
      <c r="A172" s="7" t="str">
        <f t="shared" si="3"/>
        <v/>
      </c>
      <c r="K172" s="39"/>
    </row>
    <row r="173" spans="1:11">
      <c r="A173" s="7" t="str">
        <f t="shared" si="3"/>
        <v/>
      </c>
      <c r="K173" s="39"/>
    </row>
    <row r="174" spans="1:11">
      <c r="A174" s="7" t="str">
        <f t="shared" si="3"/>
        <v/>
      </c>
      <c r="K174" s="39"/>
    </row>
    <row r="175" spans="1:11">
      <c r="A175" s="7" t="str">
        <f t="shared" si="3"/>
        <v/>
      </c>
      <c r="K175" s="39"/>
    </row>
    <row r="176" spans="1:11">
      <c r="A176" s="7" t="str">
        <f t="shared" si="3"/>
        <v/>
      </c>
      <c r="K176" s="39"/>
    </row>
    <row r="177" spans="1:11">
      <c r="A177" s="7" t="str">
        <f t="shared" si="3"/>
        <v/>
      </c>
      <c r="K177" s="39"/>
    </row>
    <row r="178" spans="1:11">
      <c r="A178" s="7" t="str">
        <f t="shared" si="3"/>
        <v/>
      </c>
      <c r="K178" s="39"/>
    </row>
    <row r="179" spans="1:11">
      <c r="A179" s="7" t="str">
        <f t="shared" si="3"/>
        <v/>
      </c>
      <c r="K179" s="39"/>
    </row>
    <row r="180" spans="1:11">
      <c r="A180" s="7" t="str">
        <f t="shared" si="3"/>
        <v/>
      </c>
      <c r="K180" s="39"/>
    </row>
    <row r="181" spans="1:11">
      <c r="A181" s="7" t="str">
        <f t="shared" si="3"/>
        <v/>
      </c>
      <c r="K181" s="39"/>
    </row>
    <row r="182" spans="1:11">
      <c r="A182" s="7" t="str">
        <f t="shared" si="3"/>
        <v/>
      </c>
      <c r="K182" s="39"/>
    </row>
    <row r="183" spans="1:11">
      <c r="A183" s="7" t="str">
        <f t="shared" si="3"/>
        <v/>
      </c>
      <c r="K183" s="39"/>
    </row>
    <row r="184" spans="1:11">
      <c r="A184" s="7" t="str">
        <f t="shared" si="3"/>
        <v/>
      </c>
      <c r="K184" s="39"/>
    </row>
    <row r="185" spans="1:11">
      <c r="A185" s="7" t="str">
        <f t="shared" si="3"/>
        <v/>
      </c>
      <c r="K185" s="39"/>
    </row>
    <row r="186" spans="1:11">
      <c r="A186" s="7" t="str">
        <f t="shared" si="3"/>
        <v/>
      </c>
      <c r="K186" s="39"/>
    </row>
    <row r="187" spans="1:11">
      <c r="A187" s="7" t="str">
        <f t="shared" si="3"/>
        <v/>
      </c>
      <c r="K187" s="39"/>
    </row>
    <row r="188" spans="1:11">
      <c r="A188" s="7" t="str">
        <f t="shared" si="3"/>
        <v/>
      </c>
      <c r="K188" s="39"/>
    </row>
    <row r="189" spans="1:11">
      <c r="A189" s="7" t="str">
        <f t="shared" si="3"/>
        <v/>
      </c>
      <c r="K189" s="39"/>
    </row>
    <row r="190" spans="1:11">
      <c r="A190" s="7" t="str">
        <f t="shared" si="3"/>
        <v/>
      </c>
      <c r="K190" s="39"/>
    </row>
    <row r="191" spans="1:11">
      <c r="A191" s="7" t="str">
        <f t="shared" si="3"/>
        <v/>
      </c>
      <c r="K191" s="39"/>
    </row>
    <row r="192" spans="1:11">
      <c r="A192" s="7" t="str">
        <f t="shared" si="3"/>
        <v/>
      </c>
      <c r="K192" s="39"/>
    </row>
    <row r="193" spans="1:11">
      <c r="A193" s="7" t="str">
        <f t="shared" si="3"/>
        <v/>
      </c>
      <c r="K193" s="39"/>
    </row>
    <row r="194" spans="1:11">
      <c r="A194" s="7" t="str">
        <f t="shared" si="3"/>
        <v/>
      </c>
      <c r="K194" s="39"/>
    </row>
    <row r="195" spans="1:11">
      <c r="A195" s="7" t="str">
        <f t="shared" ref="A195:A258" si="4">IF(B195="","",(ROW(B195)-1))</f>
        <v/>
      </c>
      <c r="K195" s="39"/>
    </row>
    <row r="196" spans="1:11">
      <c r="A196" s="7" t="str">
        <f t="shared" si="4"/>
        <v/>
      </c>
      <c r="K196" s="39"/>
    </row>
    <row r="197" spans="1:11">
      <c r="A197" s="7" t="str">
        <f t="shared" si="4"/>
        <v/>
      </c>
      <c r="K197" s="39"/>
    </row>
    <row r="198" spans="1:11">
      <c r="A198" s="7" t="str">
        <f t="shared" si="4"/>
        <v/>
      </c>
      <c r="K198" s="39"/>
    </row>
    <row r="199" spans="1:11">
      <c r="A199" s="7" t="str">
        <f t="shared" si="4"/>
        <v/>
      </c>
      <c r="K199" s="39"/>
    </row>
    <row r="200" spans="1:11">
      <c r="A200" s="7" t="str">
        <f t="shared" si="4"/>
        <v/>
      </c>
      <c r="K200" s="39"/>
    </row>
    <row r="201" spans="1:11">
      <c r="A201" s="7" t="str">
        <f t="shared" si="4"/>
        <v/>
      </c>
      <c r="K201" s="39"/>
    </row>
    <row r="202" spans="1:11">
      <c r="A202" s="7" t="str">
        <f t="shared" si="4"/>
        <v/>
      </c>
      <c r="K202" s="39"/>
    </row>
    <row r="203" spans="1:11">
      <c r="A203" s="7" t="str">
        <f t="shared" si="4"/>
        <v/>
      </c>
      <c r="K203" s="39"/>
    </row>
    <row r="204" spans="1:11">
      <c r="A204" s="7" t="str">
        <f t="shared" si="4"/>
        <v/>
      </c>
      <c r="K204" s="39"/>
    </row>
    <row r="205" spans="1:11">
      <c r="A205" s="7" t="str">
        <f t="shared" si="4"/>
        <v/>
      </c>
      <c r="K205" s="39"/>
    </row>
    <row r="206" spans="1:11">
      <c r="A206" s="7" t="str">
        <f t="shared" si="4"/>
        <v/>
      </c>
      <c r="K206" s="39"/>
    </row>
    <row r="207" spans="1:11">
      <c r="A207" s="7" t="str">
        <f t="shared" si="4"/>
        <v/>
      </c>
      <c r="K207" s="39"/>
    </row>
    <row r="208" spans="1:11">
      <c r="A208" s="7" t="str">
        <f t="shared" si="4"/>
        <v/>
      </c>
      <c r="K208" s="39"/>
    </row>
    <row r="209" spans="1:11">
      <c r="A209" s="7" t="str">
        <f t="shared" si="4"/>
        <v/>
      </c>
      <c r="K209" s="39"/>
    </row>
    <row r="210" spans="1:11">
      <c r="A210" s="7" t="str">
        <f t="shared" si="4"/>
        <v/>
      </c>
      <c r="K210" s="39"/>
    </row>
    <row r="211" spans="1:11">
      <c r="A211" s="7" t="str">
        <f t="shared" si="4"/>
        <v/>
      </c>
      <c r="K211" s="39"/>
    </row>
    <row r="212" spans="1:11">
      <c r="A212" s="7" t="str">
        <f t="shared" si="4"/>
        <v/>
      </c>
      <c r="K212" s="39"/>
    </row>
    <row r="213" spans="1:11">
      <c r="A213" s="7" t="str">
        <f t="shared" si="4"/>
        <v/>
      </c>
      <c r="K213" s="39"/>
    </row>
    <row r="214" spans="1:11">
      <c r="A214" s="7" t="str">
        <f t="shared" si="4"/>
        <v/>
      </c>
      <c r="K214" s="39"/>
    </row>
    <row r="215" spans="1:11">
      <c r="A215" s="7" t="str">
        <f t="shared" si="4"/>
        <v/>
      </c>
      <c r="K215" s="39"/>
    </row>
    <row r="216" spans="1:11">
      <c r="A216" s="7" t="str">
        <f t="shared" si="4"/>
        <v/>
      </c>
      <c r="K216" s="39"/>
    </row>
    <row r="217" spans="1:11">
      <c r="A217" s="7" t="str">
        <f t="shared" si="4"/>
        <v/>
      </c>
      <c r="K217" s="39"/>
    </row>
    <row r="218" spans="1:11">
      <c r="A218" s="7" t="str">
        <f t="shared" si="4"/>
        <v/>
      </c>
      <c r="K218" s="39"/>
    </row>
    <row r="219" spans="1:11">
      <c r="A219" s="7" t="str">
        <f t="shared" si="4"/>
        <v/>
      </c>
      <c r="K219" s="39"/>
    </row>
    <row r="220" spans="1:11">
      <c r="A220" s="7" t="str">
        <f t="shared" si="4"/>
        <v/>
      </c>
      <c r="K220" s="39"/>
    </row>
    <row r="221" spans="1:11">
      <c r="A221" s="7" t="str">
        <f t="shared" si="4"/>
        <v/>
      </c>
      <c r="K221" s="39"/>
    </row>
    <row r="222" spans="1:11">
      <c r="A222" s="7" t="str">
        <f t="shared" si="4"/>
        <v/>
      </c>
      <c r="K222" s="39"/>
    </row>
    <row r="223" spans="1:11">
      <c r="A223" s="7" t="str">
        <f t="shared" si="4"/>
        <v/>
      </c>
      <c r="K223" s="39"/>
    </row>
    <row r="224" spans="1:11">
      <c r="A224" s="7" t="str">
        <f t="shared" si="4"/>
        <v/>
      </c>
      <c r="K224" s="39"/>
    </row>
    <row r="225" spans="1:11">
      <c r="A225" s="7" t="str">
        <f t="shared" si="4"/>
        <v/>
      </c>
      <c r="K225" s="39"/>
    </row>
    <row r="226" spans="1:11">
      <c r="A226" s="7" t="str">
        <f t="shared" si="4"/>
        <v/>
      </c>
      <c r="K226" s="39"/>
    </row>
    <row r="227" spans="1:11">
      <c r="A227" s="7" t="str">
        <f t="shared" si="4"/>
        <v/>
      </c>
      <c r="K227" s="39"/>
    </row>
    <row r="228" spans="1:11">
      <c r="A228" s="7" t="str">
        <f t="shared" si="4"/>
        <v/>
      </c>
      <c r="K228" s="39"/>
    </row>
    <row r="229" spans="1:11">
      <c r="A229" s="7" t="str">
        <f t="shared" si="4"/>
        <v/>
      </c>
      <c r="K229" s="39"/>
    </row>
    <row r="230" spans="1:11">
      <c r="A230" s="7" t="str">
        <f t="shared" si="4"/>
        <v/>
      </c>
      <c r="K230" s="39"/>
    </row>
    <row r="231" spans="1:11">
      <c r="A231" s="7" t="str">
        <f t="shared" si="4"/>
        <v/>
      </c>
      <c r="K231" s="39"/>
    </row>
    <row r="232" spans="1:11">
      <c r="A232" s="7" t="str">
        <f t="shared" si="4"/>
        <v/>
      </c>
      <c r="K232" s="39"/>
    </row>
    <row r="233" spans="1:11">
      <c r="A233" s="7" t="str">
        <f t="shared" si="4"/>
        <v/>
      </c>
      <c r="K233" s="39"/>
    </row>
    <row r="234" spans="1:11">
      <c r="A234" s="7" t="str">
        <f t="shared" si="4"/>
        <v/>
      </c>
      <c r="K234" s="39"/>
    </row>
    <row r="235" spans="1:11">
      <c r="A235" s="7" t="str">
        <f t="shared" si="4"/>
        <v/>
      </c>
      <c r="K235" s="39"/>
    </row>
    <row r="236" spans="1:11">
      <c r="A236" s="7" t="str">
        <f t="shared" si="4"/>
        <v/>
      </c>
      <c r="K236" s="39"/>
    </row>
    <row r="237" spans="1:11">
      <c r="A237" s="7" t="str">
        <f t="shared" si="4"/>
        <v/>
      </c>
      <c r="K237" s="39"/>
    </row>
    <row r="238" spans="1:11">
      <c r="A238" s="7" t="str">
        <f t="shared" si="4"/>
        <v/>
      </c>
      <c r="K238" s="39"/>
    </row>
    <row r="239" spans="1:11">
      <c r="A239" s="7" t="str">
        <f t="shared" si="4"/>
        <v/>
      </c>
      <c r="K239" s="39"/>
    </row>
    <row r="240" spans="1:11">
      <c r="A240" s="7" t="str">
        <f t="shared" si="4"/>
        <v/>
      </c>
      <c r="K240" s="39"/>
    </row>
    <row r="241" spans="1:11">
      <c r="A241" s="7" t="str">
        <f t="shared" si="4"/>
        <v/>
      </c>
      <c r="K241" s="39"/>
    </row>
    <row r="242" spans="1:11">
      <c r="A242" s="7" t="str">
        <f t="shared" si="4"/>
        <v/>
      </c>
      <c r="K242" s="39"/>
    </row>
    <row r="243" spans="1:11">
      <c r="A243" s="7" t="str">
        <f t="shared" si="4"/>
        <v/>
      </c>
      <c r="K243" s="39"/>
    </row>
    <row r="244" spans="1:11">
      <c r="A244" s="7" t="str">
        <f t="shared" si="4"/>
        <v/>
      </c>
      <c r="K244" s="39"/>
    </row>
    <row r="245" spans="1:11">
      <c r="A245" s="7" t="str">
        <f t="shared" si="4"/>
        <v/>
      </c>
      <c r="K245" s="39"/>
    </row>
    <row r="246" spans="1:11">
      <c r="A246" s="7" t="str">
        <f t="shared" si="4"/>
        <v/>
      </c>
      <c r="K246" s="39"/>
    </row>
    <row r="247" spans="1:11">
      <c r="A247" s="7" t="str">
        <f t="shared" si="4"/>
        <v/>
      </c>
      <c r="K247" s="39"/>
    </row>
    <row r="248" spans="1:11">
      <c r="A248" s="7" t="str">
        <f t="shared" si="4"/>
        <v/>
      </c>
      <c r="K248" s="39"/>
    </row>
    <row r="249" spans="1:11">
      <c r="A249" s="7" t="str">
        <f t="shared" si="4"/>
        <v/>
      </c>
      <c r="K249" s="39"/>
    </row>
    <row r="250" spans="1:11">
      <c r="A250" s="7" t="str">
        <f t="shared" si="4"/>
        <v/>
      </c>
      <c r="K250" s="39"/>
    </row>
    <row r="251" spans="1:11">
      <c r="A251" s="7" t="str">
        <f t="shared" si="4"/>
        <v/>
      </c>
      <c r="K251" s="39"/>
    </row>
    <row r="252" spans="1:11">
      <c r="A252" s="7" t="str">
        <f t="shared" si="4"/>
        <v/>
      </c>
      <c r="K252" s="39"/>
    </row>
    <row r="253" spans="1:11">
      <c r="A253" s="7" t="str">
        <f t="shared" si="4"/>
        <v/>
      </c>
      <c r="K253" s="39"/>
    </row>
    <row r="254" spans="1:11">
      <c r="A254" s="7" t="str">
        <f t="shared" si="4"/>
        <v/>
      </c>
      <c r="K254" s="39"/>
    </row>
    <row r="255" spans="1:11">
      <c r="A255" s="7" t="str">
        <f t="shared" si="4"/>
        <v/>
      </c>
      <c r="K255" s="39"/>
    </row>
    <row r="256" spans="1:11">
      <c r="A256" s="7" t="str">
        <f t="shared" si="4"/>
        <v/>
      </c>
      <c r="K256" s="39"/>
    </row>
    <row r="257" spans="1:11">
      <c r="A257" s="7" t="str">
        <f t="shared" si="4"/>
        <v/>
      </c>
      <c r="K257" s="39"/>
    </row>
    <row r="258" spans="1:11">
      <c r="A258" s="7" t="str">
        <f t="shared" si="4"/>
        <v/>
      </c>
      <c r="K258" s="39"/>
    </row>
    <row r="259" spans="1:11">
      <c r="A259" s="7" t="str">
        <f t="shared" ref="A259:A322" si="5">IF(B259="","",(ROW(B259)-1))</f>
        <v/>
      </c>
      <c r="K259" s="39"/>
    </row>
    <row r="260" spans="1:11">
      <c r="A260" s="7" t="str">
        <f t="shared" si="5"/>
        <v/>
      </c>
      <c r="K260" s="39"/>
    </row>
    <row r="261" spans="1:11">
      <c r="A261" s="7" t="str">
        <f t="shared" si="5"/>
        <v/>
      </c>
      <c r="K261" s="39"/>
    </row>
    <row r="262" spans="1:11">
      <c r="A262" s="7" t="str">
        <f t="shared" si="5"/>
        <v/>
      </c>
      <c r="K262" s="39"/>
    </row>
    <row r="263" spans="1:11">
      <c r="A263" s="7" t="str">
        <f t="shared" si="5"/>
        <v/>
      </c>
      <c r="K263" s="39"/>
    </row>
    <row r="264" spans="1:11">
      <c r="A264" s="7" t="str">
        <f t="shared" si="5"/>
        <v/>
      </c>
      <c r="K264" s="39"/>
    </row>
    <row r="265" spans="1:11">
      <c r="A265" s="7" t="str">
        <f t="shared" si="5"/>
        <v/>
      </c>
      <c r="K265" s="39"/>
    </row>
    <row r="266" spans="1:11">
      <c r="A266" s="7" t="str">
        <f t="shared" si="5"/>
        <v/>
      </c>
      <c r="K266" s="39"/>
    </row>
    <row r="267" spans="1:11">
      <c r="A267" s="7" t="str">
        <f t="shared" si="5"/>
        <v/>
      </c>
      <c r="K267" s="39"/>
    </row>
    <row r="268" spans="1:11">
      <c r="A268" s="7" t="str">
        <f t="shared" si="5"/>
        <v/>
      </c>
      <c r="K268" s="39"/>
    </row>
    <row r="269" spans="1:11">
      <c r="A269" s="7" t="str">
        <f t="shared" si="5"/>
        <v/>
      </c>
      <c r="K269" s="39"/>
    </row>
    <row r="270" spans="1:11">
      <c r="A270" s="7" t="str">
        <f t="shared" si="5"/>
        <v/>
      </c>
      <c r="K270" s="39"/>
    </row>
    <row r="271" spans="1:11">
      <c r="A271" s="7" t="str">
        <f t="shared" si="5"/>
        <v/>
      </c>
      <c r="K271" s="39"/>
    </row>
    <row r="272" spans="1:11">
      <c r="A272" s="7" t="str">
        <f t="shared" si="5"/>
        <v/>
      </c>
      <c r="K272" s="39"/>
    </row>
    <row r="273" spans="1:11">
      <c r="A273" s="7" t="str">
        <f t="shared" si="5"/>
        <v/>
      </c>
      <c r="K273" s="39"/>
    </row>
    <row r="274" spans="1:11">
      <c r="A274" s="7" t="str">
        <f t="shared" si="5"/>
        <v/>
      </c>
      <c r="K274" s="39"/>
    </row>
    <row r="275" spans="1:11">
      <c r="A275" s="7" t="str">
        <f t="shared" si="5"/>
        <v/>
      </c>
      <c r="K275" s="39"/>
    </row>
    <row r="276" spans="1:11">
      <c r="A276" s="7" t="str">
        <f t="shared" si="5"/>
        <v/>
      </c>
      <c r="K276" s="39"/>
    </row>
    <row r="277" spans="1:11">
      <c r="A277" s="7" t="str">
        <f t="shared" si="5"/>
        <v/>
      </c>
      <c r="K277" s="39"/>
    </row>
    <row r="278" spans="1:11">
      <c r="A278" s="7" t="str">
        <f t="shared" si="5"/>
        <v/>
      </c>
      <c r="K278" s="39"/>
    </row>
    <row r="279" spans="1:11">
      <c r="A279" s="7" t="str">
        <f t="shared" si="5"/>
        <v/>
      </c>
      <c r="K279" s="39"/>
    </row>
    <row r="280" spans="1:11">
      <c r="A280" s="7" t="str">
        <f t="shared" si="5"/>
        <v/>
      </c>
      <c r="K280" s="39"/>
    </row>
    <row r="281" spans="1:11">
      <c r="A281" s="7" t="str">
        <f t="shared" si="5"/>
        <v/>
      </c>
      <c r="K281" s="39"/>
    </row>
    <row r="282" spans="1:11">
      <c r="A282" s="7" t="str">
        <f t="shared" si="5"/>
        <v/>
      </c>
      <c r="K282" s="39"/>
    </row>
    <row r="283" spans="1:11">
      <c r="A283" s="7" t="str">
        <f t="shared" si="5"/>
        <v/>
      </c>
      <c r="K283" s="39"/>
    </row>
    <row r="284" spans="1:11">
      <c r="A284" s="7" t="str">
        <f t="shared" si="5"/>
        <v/>
      </c>
      <c r="K284" s="39"/>
    </row>
    <row r="285" spans="1:11">
      <c r="A285" s="7" t="str">
        <f t="shared" si="5"/>
        <v/>
      </c>
      <c r="K285" s="39"/>
    </row>
    <row r="286" spans="1:11">
      <c r="A286" s="7" t="str">
        <f t="shared" si="5"/>
        <v/>
      </c>
      <c r="K286" s="39"/>
    </row>
    <row r="287" spans="1:11">
      <c r="A287" s="7" t="str">
        <f t="shared" si="5"/>
        <v/>
      </c>
      <c r="K287" s="39"/>
    </row>
    <row r="288" spans="1:11">
      <c r="A288" s="7" t="str">
        <f t="shared" si="5"/>
        <v/>
      </c>
      <c r="K288" s="39"/>
    </row>
    <row r="289" spans="1:11">
      <c r="A289" s="7" t="str">
        <f t="shared" si="5"/>
        <v/>
      </c>
      <c r="K289" s="39"/>
    </row>
    <row r="290" spans="1:11">
      <c r="A290" s="7" t="str">
        <f t="shared" si="5"/>
        <v/>
      </c>
      <c r="K290" s="39"/>
    </row>
    <row r="291" spans="1:11">
      <c r="A291" s="7" t="str">
        <f t="shared" si="5"/>
        <v/>
      </c>
      <c r="K291" s="39"/>
    </row>
    <row r="292" spans="1:11">
      <c r="A292" s="7" t="str">
        <f t="shared" si="5"/>
        <v/>
      </c>
      <c r="K292" s="39"/>
    </row>
    <row r="293" spans="1:11">
      <c r="A293" s="7" t="str">
        <f t="shared" si="5"/>
        <v/>
      </c>
      <c r="K293" s="39"/>
    </row>
    <row r="294" spans="1:11">
      <c r="A294" s="7" t="str">
        <f t="shared" si="5"/>
        <v/>
      </c>
      <c r="K294" s="39"/>
    </row>
    <row r="295" spans="1:11">
      <c r="A295" s="7" t="str">
        <f t="shared" si="5"/>
        <v/>
      </c>
      <c r="K295" s="39"/>
    </row>
    <row r="296" spans="1:11">
      <c r="A296" s="7" t="str">
        <f t="shared" si="5"/>
        <v/>
      </c>
      <c r="K296" s="39"/>
    </row>
    <row r="297" spans="1:11">
      <c r="A297" s="7" t="str">
        <f t="shared" si="5"/>
        <v/>
      </c>
      <c r="K297" s="39"/>
    </row>
    <row r="298" spans="1:11">
      <c r="A298" s="7" t="str">
        <f t="shared" si="5"/>
        <v/>
      </c>
      <c r="K298" s="39"/>
    </row>
    <row r="299" spans="1:11">
      <c r="A299" s="7" t="str">
        <f t="shared" si="5"/>
        <v/>
      </c>
      <c r="K299" s="39"/>
    </row>
    <row r="300" spans="1:11">
      <c r="A300" s="7" t="str">
        <f t="shared" si="5"/>
        <v/>
      </c>
      <c r="K300" s="39"/>
    </row>
    <row r="301" spans="1:11">
      <c r="A301" s="7" t="str">
        <f t="shared" si="5"/>
        <v/>
      </c>
      <c r="K301" s="39"/>
    </row>
    <row r="302" spans="1:11">
      <c r="A302" s="7" t="str">
        <f t="shared" si="5"/>
        <v/>
      </c>
      <c r="K302" s="39"/>
    </row>
    <row r="303" spans="1:11">
      <c r="A303" s="7" t="str">
        <f t="shared" si="5"/>
        <v/>
      </c>
      <c r="K303" s="39"/>
    </row>
    <row r="304" spans="1:11">
      <c r="A304" s="7" t="str">
        <f t="shared" si="5"/>
        <v/>
      </c>
      <c r="K304" s="39"/>
    </row>
    <row r="305" spans="1:11">
      <c r="A305" s="7" t="str">
        <f t="shared" si="5"/>
        <v/>
      </c>
      <c r="K305" s="39"/>
    </row>
    <row r="306" spans="1:11">
      <c r="A306" s="7" t="str">
        <f t="shared" si="5"/>
        <v/>
      </c>
      <c r="K306" s="39"/>
    </row>
    <row r="307" spans="1:11">
      <c r="A307" s="7" t="str">
        <f t="shared" si="5"/>
        <v/>
      </c>
      <c r="K307" s="39"/>
    </row>
    <row r="308" spans="1:11">
      <c r="A308" s="7" t="str">
        <f t="shared" si="5"/>
        <v/>
      </c>
      <c r="K308" s="39"/>
    </row>
    <row r="309" spans="1:11">
      <c r="A309" s="7" t="str">
        <f t="shared" si="5"/>
        <v/>
      </c>
      <c r="K309" s="39"/>
    </row>
    <row r="310" spans="1:11">
      <c r="A310" s="7" t="str">
        <f t="shared" si="5"/>
        <v/>
      </c>
      <c r="K310" s="39"/>
    </row>
    <row r="311" spans="1:11">
      <c r="A311" s="7" t="str">
        <f t="shared" si="5"/>
        <v/>
      </c>
      <c r="K311" s="39"/>
    </row>
    <row r="312" spans="1:11">
      <c r="A312" s="7" t="str">
        <f t="shared" si="5"/>
        <v/>
      </c>
      <c r="K312" s="39"/>
    </row>
    <row r="313" spans="1:11">
      <c r="A313" s="7" t="str">
        <f t="shared" si="5"/>
        <v/>
      </c>
      <c r="K313" s="39"/>
    </row>
    <row r="314" spans="1:11">
      <c r="A314" s="7" t="str">
        <f t="shared" si="5"/>
        <v/>
      </c>
      <c r="K314" s="39"/>
    </row>
    <row r="315" spans="1:11">
      <c r="A315" s="7" t="str">
        <f t="shared" si="5"/>
        <v/>
      </c>
      <c r="K315" s="39"/>
    </row>
    <row r="316" spans="1:11">
      <c r="A316" s="7" t="str">
        <f t="shared" si="5"/>
        <v/>
      </c>
      <c r="K316" s="39"/>
    </row>
    <row r="317" spans="1:11">
      <c r="A317" s="7" t="str">
        <f t="shared" si="5"/>
        <v/>
      </c>
      <c r="K317" s="39"/>
    </row>
    <row r="318" spans="1:11">
      <c r="A318" s="7" t="str">
        <f t="shared" si="5"/>
        <v/>
      </c>
      <c r="K318" s="39"/>
    </row>
    <row r="319" spans="1:11">
      <c r="A319" s="7" t="str">
        <f t="shared" si="5"/>
        <v/>
      </c>
      <c r="K319" s="39"/>
    </row>
    <row r="320" spans="1:11">
      <c r="A320" s="7" t="str">
        <f t="shared" si="5"/>
        <v/>
      </c>
      <c r="K320" s="39"/>
    </row>
    <row r="321" spans="1:11">
      <c r="A321" s="7" t="str">
        <f t="shared" si="5"/>
        <v/>
      </c>
      <c r="K321" s="39"/>
    </row>
    <row r="322" spans="1:11">
      <c r="A322" s="7" t="str">
        <f t="shared" si="5"/>
        <v/>
      </c>
      <c r="K322" s="39"/>
    </row>
    <row r="323" spans="1:11">
      <c r="A323" s="7" t="str">
        <f t="shared" ref="A323:A386" si="6">IF(B323="","",(ROW(B323)-1))</f>
        <v/>
      </c>
      <c r="K323" s="39"/>
    </row>
    <row r="324" spans="1:11">
      <c r="A324" s="7" t="str">
        <f t="shared" si="6"/>
        <v/>
      </c>
      <c r="K324" s="39"/>
    </row>
    <row r="325" spans="1:11">
      <c r="A325" s="7" t="str">
        <f t="shared" si="6"/>
        <v/>
      </c>
      <c r="K325" s="39"/>
    </row>
    <row r="326" spans="1:11">
      <c r="A326" s="7" t="str">
        <f t="shared" si="6"/>
        <v/>
      </c>
      <c r="K326" s="39"/>
    </row>
    <row r="327" spans="1:11">
      <c r="A327" s="7" t="str">
        <f t="shared" si="6"/>
        <v/>
      </c>
      <c r="K327" s="39"/>
    </row>
    <row r="328" spans="1:11">
      <c r="A328" s="7" t="str">
        <f t="shared" si="6"/>
        <v/>
      </c>
      <c r="K328" s="39"/>
    </row>
    <row r="329" spans="1:11">
      <c r="A329" s="7" t="str">
        <f t="shared" si="6"/>
        <v/>
      </c>
      <c r="K329" s="39"/>
    </row>
    <row r="330" spans="1:11">
      <c r="A330" s="7" t="str">
        <f t="shared" si="6"/>
        <v/>
      </c>
      <c r="K330" s="39"/>
    </row>
    <row r="331" spans="1:11">
      <c r="A331" s="7" t="str">
        <f t="shared" si="6"/>
        <v/>
      </c>
      <c r="K331" s="39"/>
    </row>
    <row r="332" spans="1:11">
      <c r="A332" s="7" t="str">
        <f t="shared" si="6"/>
        <v/>
      </c>
      <c r="K332" s="39"/>
    </row>
    <row r="333" spans="1:11">
      <c r="A333" s="7" t="str">
        <f t="shared" si="6"/>
        <v/>
      </c>
      <c r="K333" s="39"/>
    </row>
    <row r="334" spans="1:11">
      <c r="A334" s="7" t="str">
        <f t="shared" si="6"/>
        <v/>
      </c>
      <c r="K334" s="39"/>
    </row>
    <row r="335" spans="1:11">
      <c r="A335" s="7" t="str">
        <f t="shared" si="6"/>
        <v/>
      </c>
      <c r="K335" s="39"/>
    </row>
    <row r="336" spans="1:11">
      <c r="A336" s="7" t="str">
        <f t="shared" si="6"/>
        <v/>
      </c>
      <c r="K336" s="39"/>
    </row>
    <row r="337" spans="1:11">
      <c r="A337" s="7" t="str">
        <f t="shared" si="6"/>
        <v/>
      </c>
      <c r="K337" s="39"/>
    </row>
    <row r="338" spans="1:11">
      <c r="A338" s="7" t="str">
        <f t="shared" si="6"/>
        <v/>
      </c>
      <c r="K338" s="39"/>
    </row>
    <row r="339" spans="1:11">
      <c r="A339" s="7" t="str">
        <f t="shared" si="6"/>
        <v/>
      </c>
      <c r="K339" s="39"/>
    </row>
    <row r="340" spans="1:11">
      <c r="A340" s="7" t="str">
        <f t="shared" si="6"/>
        <v/>
      </c>
      <c r="K340" s="39"/>
    </row>
    <row r="341" spans="1:11">
      <c r="A341" s="7" t="str">
        <f t="shared" si="6"/>
        <v/>
      </c>
      <c r="K341" s="39"/>
    </row>
    <row r="342" spans="1:11">
      <c r="A342" s="7" t="str">
        <f t="shared" si="6"/>
        <v/>
      </c>
      <c r="K342" s="39"/>
    </row>
    <row r="343" spans="1:11">
      <c r="A343" s="7" t="str">
        <f t="shared" si="6"/>
        <v/>
      </c>
      <c r="K343" s="39"/>
    </row>
    <row r="344" spans="1:11">
      <c r="A344" s="7" t="str">
        <f t="shared" si="6"/>
        <v/>
      </c>
      <c r="K344" s="39"/>
    </row>
    <row r="345" spans="1:11">
      <c r="A345" s="7" t="str">
        <f t="shared" si="6"/>
        <v/>
      </c>
      <c r="K345" s="39"/>
    </row>
    <row r="346" spans="1:11">
      <c r="A346" s="7" t="str">
        <f t="shared" si="6"/>
        <v/>
      </c>
      <c r="K346" s="39"/>
    </row>
    <row r="347" spans="1:11">
      <c r="A347" s="7" t="str">
        <f t="shared" si="6"/>
        <v/>
      </c>
      <c r="K347" s="39"/>
    </row>
    <row r="348" spans="1:11">
      <c r="A348" s="7" t="str">
        <f t="shared" si="6"/>
        <v/>
      </c>
      <c r="K348" s="39"/>
    </row>
    <row r="349" spans="1:11">
      <c r="A349" s="7" t="str">
        <f t="shared" si="6"/>
        <v/>
      </c>
      <c r="K349" s="39"/>
    </row>
    <row r="350" spans="1:11">
      <c r="A350" s="7" t="str">
        <f t="shared" si="6"/>
        <v/>
      </c>
      <c r="K350" s="39"/>
    </row>
    <row r="351" spans="1:11">
      <c r="A351" s="7" t="str">
        <f t="shared" si="6"/>
        <v/>
      </c>
      <c r="K351" s="39"/>
    </row>
    <row r="352" spans="1:11">
      <c r="A352" s="7" t="str">
        <f t="shared" si="6"/>
        <v/>
      </c>
      <c r="K352" s="39"/>
    </row>
    <row r="353" spans="1:11">
      <c r="A353" s="7" t="str">
        <f t="shared" si="6"/>
        <v/>
      </c>
      <c r="K353" s="39"/>
    </row>
    <row r="354" spans="1:11">
      <c r="A354" s="7" t="str">
        <f t="shared" si="6"/>
        <v/>
      </c>
      <c r="K354" s="39"/>
    </row>
    <row r="355" spans="1:11">
      <c r="A355" s="7" t="str">
        <f t="shared" si="6"/>
        <v/>
      </c>
      <c r="K355" s="39"/>
    </row>
    <row r="356" spans="1:11">
      <c r="A356" s="7" t="str">
        <f t="shared" si="6"/>
        <v/>
      </c>
      <c r="K356" s="39"/>
    </row>
    <row r="357" spans="1:11">
      <c r="A357" s="7" t="str">
        <f t="shared" si="6"/>
        <v/>
      </c>
      <c r="K357" s="39"/>
    </row>
    <row r="358" spans="1:11">
      <c r="A358" s="7" t="str">
        <f t="shared" si="6"/>
        <v/>
      </c>
      <c r="K358" s="39"/>
    </row>
    <row r="359" spans="1:11">
      <c r="A359" s="7" t="str">
        <f t="shared" si="6"/>
        <v/>
      </c>
      <c r="K359" s="39"/>
    </row>
    <row r="360" spans="1:11">
      <c r="A360" s="7" t="str">
        <f t="shared" si="6"/>
        <v/>
      </c>
      <c r="K360" s="39"/>
    </row>
    <row r="361" spans="1:11">
      <c r="A361" s="7" t="str">
        <f t="shared" si="6"/>
        <v/>
      </c>
      <c r="K361" s="39"/>
    </row>
    <row r="362" spans="1:11">
      <c r="A362" s="7" t="str">
        <f t="shared" si="6"/>
        <v/>
      </c>
      <c r="K362" s="39"/>
    </row>
    <row r="363" spans="1:11">
      <c r="A363" s="7" t="str">
        <f t="shared" si="6"/>
        <v/>
      </c>
      <c r="K363" s="39"/>
    </row>
    <row r="364" spans="1:11">
      <c r="A364" s="7" t="str">
        <f t="shared" si="6"/>
        <v/>
      </c>
      <c r="K364" s="39"/>
    </row>
    <row r="365" spans="1:11">
      <c r="A365" s="7" t="str">
        <f t="shared" si="6"/>
        <v/>
      </c>
      <c r="K365" s="39"/>
    </row>
    <row r="366" spans="1:11">
      <c r="A366" s="7" t="str">
        <f t="shared" si="6"/>
        <v/>
      </c>
      <c r="K366" s="39"/>
    </row>
    <row r="367" spans="1:11">
      <c r="A367" s="7" t="str">
        <f t="shared" si="6"/>
        <v/>
      </c>
      <c r="K367" s="39"/>
    </row>
    <row r="368" spans="1:11">
      <c r="A368" s="7" t="str">
        <f t="shared" si="6"/>
        <v/>
      </c>
      <c r="K368" s="39"/>
    </row>
    <row r="369" spans="1:11">
      <c r="A369" s="7" t="str">
        <f t="shared" si="6"/>
        <v/>
      </c>
      <c r="K369" s="39"/>
    </row>
    <row r="370" spans="1:11">
      <c r="A370" s="7" t="str">
        <f t="shared" si="6"/>
        <v/>
      </c>
      <c r="K370" s="39"/>
    </row>
    <row r="371" spans="1:11">
      <c r="A371" s="7" t="str">
        <f t="shared" si="6"/>
        <v/>
      </c>
      <c r="K371" s="39"/>
    </row>
    <row r="372" spans="1:11">
      <c r="A372" s="7" t="str">
        <f t="shared" si="6"/>
        <v/>
      </c>
      <c r="K372" s="39"/>
    </row>
    <row r="373" spans="1:11">
      <c r="A373" s="7" t="str">
        <f t="shared" si="6"/>
        <v/>
      </c>
      <c r="K373" s="39"/>
    </row>
    <row r="374" spans="1:11">
      <c r="A374" s="7" t="str">
        <f t="shared" si="6"/>
        <v/>
      </c>
      <c r="K374" s="39"/>
    </row>
    <row r="375" spans="1:11">
      <c r="A375" s="7" t="str">
        <f t="shared" si="6"/>
        <v/>
      </c>
      <c r="K375" s="39"/>
    </row>
    <row r="376" spans="1:11">
      <c r="A376" s="7" t="str">
        <f t="shared" si="6"/>
        <v/>
      </c>
      <c r="K376" s="39"/>
    </row>
    <row r="377" spans="1:11">
      <c r="A377" s="7" t="str">
        <f t="shared" si="6"/>
        <v/>
      </c>
      <c r="K377" s="39"/>
    </row>
    <row r="378" spans="1:11">
      <c r="A378" s="7" t="str">
        <f t="shared" si="6"/>
        <v/>
      </c>
      <c r="K378" s="39"/>
    </row>
    <row r="379" spans="1:11">
      <c r="A379" s="7" t="str">
        <f t="shared" si="6"/>
        <v/>
      </c>
      <c r="K379" s="39"/>
    </row>
    <row r="380" spans="1:11">
      <c r="A380" s="7" t="str">
        <f t="shared" si="6"/>
        <v/>
      </c>
      <c r="K380" s="39"/>
    </row>
    <row r="381" spans="1:11">
      <c r="A381" s="7" t="str">
        <f t="shared" si="6"/>
        <v/>
      </c>
      <c r="K381" s="39"/>
    </row>
    <row r="382" spans="1:11">
      <c r="A382" s="7" t="str">
        <f t="shared" si="6"/>
        <v/>
      </c>
      <c r="K382" s="39"/>
    </row>
    <row r="383" spans="1:11">
      <c r="A383" s="7" t="str">
        <f t="shared" si="6"/>
        <v/>
      </c>
      <c r="K383" s="39"/>
    </row>
    <row r="384" spans="1:11">
      <c r="A384" s="7" t="str">
        <f t="shared" si="6"/>
        <v/>
      </c>
      <c r="K384" s="39"/>
    </row>
    <row r="385" spans="1:11">
      <c r="A385" s="7" t="str">
        <f t="shared" si="6"/>
        <v/>
      </c>
      <c r="K385" s="39"/>
    </row>
    <row r="386" spans="1:11">
      <c r="A386" s="7" t="str">
        <f t="shared" si="6"/>
        <v/>
      </c>
      <c r="K386" s="39"/>
    </row>
    <row r="387" spans="1:11">
      <c r="A387" s="7" t="str">
        <f t="shared" ref="A387:A450" si="7">IF(B387="","",(ROW(B387)-1))</f>
        <v/>
      </c>
      <c r="K387" s="39"/>
    </row>
    <row r="388" spans="1:11">
      <c r="A388" s="7" t="str">
        <f t="shared" si="7"/>
        <v/>
      </c>
      <c r="K388" s="39"/>
    </row>
    <row r="389" spans="1:11">
      <c r="A389" s="7" t="str">
        <f t="shared" si="7"/>
        <v/>
      </c>
      <c r="K389" s="39"/>
    </row>
    <row r="390" spans="1:11">
      <c r="A390" s="7" t="str">
        <f t="shared" si="7"/>
        <v/>
      </c>
      <c r="K390" s="39"/>
    </row>
    <row r="391" spans="1:11">
      <c r="A391" s="7" t="str">
        <f t="shared" si="7"/>
        <v/>
      </c>
      <c r="K391" s="39"/>
    </row>
    <row r="392" spans="1:11">
      <c r="A392" s="7" t="str">
        <f t="shared" si="7"/>
        <v/>
      </c>
      <c r="K392" s="39"/>
    </row>
    <row r="393" spans="1:11">
      <c r="A393" s="7" t="str">
        <f t="shared" si="7"/>
        <v/>
      </c>
      <c r="K393" s="39"/>
    </row>
    <row r="394" spans="1:11">
      <c r="A394" s="7" t="str">
        <f t="shared" si="7"/>
        <v/>
      </c>
      <c r="K394" s="39"/>
    </row>
    <row r="395" spans="1:11">
      <c r="A395" s="7" t="str">
        <f t="shared" si="7"/>
        <v/>
      </c>
      <c r="K395" s="39"/>
    </row>
    <row r="396" spans="1:11">
      <c r="A396" s="7" t="str">
        <f t="shared" si="7"/>
        <v/>
      </c>
      <c r="K396" s="39"/>
    </row>
    <row r="397" spans="1:11">
      <c r="A397" s="7" t="str">
        <f t="shared" si="7"/>
        <v/>
      </c>
      <c r="K397" s="39"/>
    </row>
    <row r="398" spans="1:11">
      <c r="A398" s="7" t="str">
        <f t="shared" si="7"/>
        <v/>
      </c>
      <c r="K398" s="39"/>
    </row>
    <row r="399" spans="1:11">
      <c r="A399" s="7" t="str">
        <f t="shared" si="7"/>
        <v/>
      </c>
      <c r="K399" s="39"/>
    </row>
    <row r="400" spans="1:11">
      <c r="A400" s="7" t="str">
        <f t="shared" si="7"/>
        <v/>
      </c>
      <c r="K400" s="39"/>
    </row>
    <row r="401" spans="1:11">
      <c r="A401" s="7" t="str">
        <f t="shared" si="7"/>
        <v/>
      </c>
      <c r="K401" s="39"/>
    </row>
    <row r="402" spans="1:11">
      <c r="A402" s="7" t="str">
        <f t="shared" si="7"/>
        <v/>
      </c>
      <c r="K402" s="39"/>
    </row>
    <row r="403" spans="1:11">
      <c r="A403" s="7" t="str">
        <f t="shared" si="7"/>
        <v/>
      </c>
      <c r="K403" s="39"/>
    </row>
    <row r="404" spans="1:11">
      <c r="A404" s="7" t="str">
        <f t="shared" si="7"/>
        <v/>
      </c>
      <c r="K404" s="39"/>
    </row>
    <row r="405" spans="1:11">
      <c r="A405" s="7" t="str">
        <f t="shared" si="7"/>
        <v/>
      </c>
      <c r="K405" s="39"/>
    </row>
    <row r="406" spans="1:11">
      <c r="A406" s="7" t="str">
        <f t="shared" si="7"/>
        <v/>
      </c>
      <c r="K406" s="39"/>
    </row>
    <row r="407" spans="1:11">
      <c r="A407" s="7" t="str">
        <f t="shared" si="7"/>
        <v/>
      </c>
      <c r="K407" s="39"/>
    </row>
    <row r="408" spans="1:11">
      <c r="A408" s="7" t="str">
        <f t="shared" si="7"/>
        <v/>
      </c>
      <c r="K408" s="39"/>
    </row>
    <row r="409" spans="1:11">
      <c r="A409" s="7" t="str">
        <f t="shared" si="7"/>
        <v/>
      </c>
      <c r="K409" s="39"/>
    </row>
    <row r="410" spans="1:11">
      <c r="A410" s="7" t="str">
        <f t="shared" si="7"/>
        <v/>
      </c>
      <c r="K410" s="39"/>
    </row>
    <row r="411" spans="1:11">
      <c r="A411" s="7" t="str">
        <f t="shared" si="7"/>
        <v/>
      </c>
      <c r="K411" s="39"/>
    </row>
    <row r="412" spans="1:11">
      <c r="A412" s="7" t="str">
        <f t="shared" si="7"/>
        <v/>
      </c>
      <c r="K412" s="39"/>
    </row>
    <row r="413" spans="1:11">
      <c r="A413" s="7" t="str">
        <f t="shared" si="7"/>
        <v/>
      </c>
      <c r="K413" s="39"/>
    </row>
    <row r="414" spans="1:11">
      <c r="A414" s="7" t="str">
        <f t="shared" si="7"/>
        <v/>
      </c>
      <c r="K414" s="39"/>
    </row>
    <row r="415" spans="1:11">
      <c r="A415" s="7" t="str">
        <f t="shared" si="7"/>
        <v/>
      </c>
      <c r="K415" s="39"/>
    </row>
    <row r="416" spans="1:11">
      <c r="A416" s="7" t="str">
        <f t="shared" si="7"/>
        <v/>
      </c>
      <c r="K416" s="39"/>
    </row>
    <row r="417" spans="1:11">
      <c r="A417" s="7" t="str">
        <f t="shared" si="7"/>
        <v/>
      </c>
      <c r="K417" s="39"/>
    </row>
    <row r="418" spans="1:11">
      <c r="A418" s="7" t="str">
        <f t="shared" si="7"/>
        <v/>
      </c>
      <c r="K418" s="39"/>
    </row>
    <row r="419" spans="1:11">
      <c r="A419" s="7" t="str">
        <f t="shared" si="7"/>
        <v/>
      </c>
      <c r="K419" s="39"/>
    </row>
    <row r="420" spans="1:11">
      <c r="A420" s="7" t="str">
        <f t="shared" si="7"/>
        <v/>
      </c>
      <c r="K420" s="39"/>
    </row>
    <row r="421" spans="1:11">
      <c r="A421" s="7" t="str">
        <f t="shared" si="7"/>
        <v/>
      </c>
      <c r="K421" s="39"/>
    </row>
    <row r="422" spans="1:11">
      <c r="A422" s="7" t="str">
        <f t="shared" si="7"/>
        <v/>
      </c>
      <c r="K422" s="39"/>
    </row>
    <row r="423" spans="1:11">
      <c r="A423" s="7" t="str">
        <f t="shared" si="7"/>
        <v/>
      </c>
      <c r="K423" s="39"/>
    </row>
    <row r="424" spans="1:11">
      <c r="A424" s="7" t="str">
        <f t="shared" si="7"/>
        <v/>
      </c>
      <c r="K424" s="39"/>
    </row>
    <row r="425" spans="1:11">
      <c r="A425" s="7" t="str">
        <f t="shared" si="7"/>
        <v/>
      </c>
      <c r="K425" s="39"/>
    </row>
    <row r="426" spans="1:11">
      <c r="A426" s="7" t="str">
        <f t="shared" si="7"/>
        <v/>
      </c>
      <c r="K426" s="39"/>
    </row>
    <row r="427" spans="1:11">
      <c r="A427" s="7" t="str">
        <f t="shared" si="7"/>
        <v/>
      </c>
      <c r="K427" s="39"/>
    </row>
    <row r="428" spans="1:11">
      <c r="A428" s="7" t="str">
        <f t="shared" si="7"/>
        <v/>
      </c>
      <c r="K428" s="39"/>
    </row>
    <row r="429" spans="1:11">
      <c r="A429" s="7" t="str">
        <f t="shared" si="7"/>
        <v/>
      </c>
      <c r="K429" s="39"/>
    </row>
    <row r="430" spans="1:11">
      <c r="A430" s="7" t="str">
        <f t="shared" si="7"/>
        <v/>
      </c>
      <c r="K430" s="39"/>
    </row>
    <row r="431" spans="1:11">
      <c r="A431" s="7" t="str">
        <f t="shared" si="7"/>
        <v/>
      </c>
      <c r="K431" s="39"/>
    </row>
    <row r="432" spans="1:11">
      <c r="A432" s="7" t="str">
        <f t="shared" si="7"/>
        <v/>
      </c>
      <c r="K432" s="39"/>
    </row>
    <row r="433" spans="1:11">
      <c r="A433" s="7" t="str">
        <f t="shared" si="7"/>
        <v/>
      </c>
      <c r="K433" s="39"/>
    </row>
    <row r="434" spans="1:11">
      <c r="A434" s="7" t="str">
        <f t="shared" si="7"/>
        <v/>
      </c>
      <c r="K434" s="39"/>
    </row>
    <row r="435" spans="1:11">
      <c r="A435" s="7" t="str">
        <f t="shared" si="7"/>
        <v/>
      </c>
      <c r="K435" s="39"/>
    </row>
    <row r="436" spans="1:11">
      <c r="A436" s="7" t="str">
        <f t="shared" si="7"/>
        <v/>
      </c>
      <c r="K436" s="39"/>
    </row>
    <row r="437" spans="1:11">
      <c r="A437" s="7" t="str">
        <f t="shared" si="7"/>
        <v/>
      </c>
      <c r="K437" s="39"/>
    </row>
    <row r="438" spans="1:11">
      <c r="A438" s="7" t="str">
        <f t="shared" si="7"/>
        <v/>
      </c>
      <c r="K438" s="39"/>
    </row>
    <row r="439" spans="1:11">
      <c r="A439" s="7" t="str">
        <f t="shared" si="7"/>
        <v/>
      </c>
      <c r="K439" s="39"/>
    </row>
    <row r="440" spans="1:11">
      <c r="A440" s="7" t="str">
        <f t="shared" si="7"/>
        <v/>
      </c>
      <c r="K440" s="39"/>
    </row>
    <row r="441" spans="1:11">
      <c r="A441" s="7" t="str">
        <f t="shared" si="7"/>
        <v/>
      </c>
      <c r="K441" s="39"/>
    </row>
    <row r="442" spans="1:11">
      <c r="A442" s="7" t="str">
        <f t="shared" si="7"/>
        <v/>
      </c>
      <c r="K442" s="39"/>
    </row>
    <row r="443" spans="1:11">
      <c r="A443" s="7" t="str">
        <f t="shared" si="7"/>
        <v/>
      </c>
      <c r="K443" s="39"/>
    </row>
    <row r="444" spans="1:11">
      <c r="A444" s="7" t="str">
        <f t="shared" si="7"/>
        <v/>
      </c>
      <c r="K444" s="39"/>
    </row>
    <row r="445" spans="1:11">
      <c r="A445" s="7" t="str">
        <f t="shared" si="7"/>
        <v/>
      </c>
      <c r="K445" s="39"/>
    </row>
    <row r="446" spans="1:11">
      <c r="A446" s="7" t="str">
        <f t="shared" si="7"/>
        <v/>
      </c>
      <c r="K446" s="39"/>
    </row>
    <row r="447" spans="1:11">
      <c r="A447" s="7" t="str">
        <f t="shared" si="7"/>
        <v/>
      </c>
      <c r="K447" s="39"/>
    </row>
    <row r="448" spans="1:11">
      <c r="A448" s="7" t="str">
        <f t="shared" si="7"/>
        <v/>
      </c>
      <c r="K448" s="39"/>
    </row>
    <row r="449" spans="1:11">
      <c r="A449" s="7" t="str">
        <f t="shared" si="7"/>
        <v/>
      </c>
      <c r="K449" s="39"/>
    </row>
    <row r="450" spans="1:11">
      <c r="A450" s="7" t="str">
        <f t="shared" si="7"/>
        <v/>
      </c>
      <c r="K450" s="39"/>
    </row>
    <row r="451" spans="1:11">
      <c r="A451" s="7" t="str">
        <f t="shared" ref="A451:A514" si="8">IF(B451="","",(ROW(B451)-1))</f>
        <v/>
      </c>
      <c r="K451" s="39"/>
    </row>
    <row r="452" spans="1:11">
      <c r="A452" s="7" t="str">
        <f t="shared" si="8"/>
        <v/>
      </c>
      <c r="K452" s="39"/>
    </row>
    <row r="453" spans="1:11">
      <c r="A453" s="7" t="str">
        <f t="shared" si="8"/>
        <v/>
      </c>
      <c r="K453" s="39"/>
    </row>
    <row r="454" spans="1:11">
      <c r="A454" s="7" t="str">
        <f t="shared" si="8"/>
        <v/>
      </c>
      <c r="K454" s="39"/>
    </row>
    <row r="455" spans="1:11">
      <c r="A455" s="7" t="str">
        <f t="shared" si="8"/>
        <v/>
      </c>
      <c r="K455" s="39"/>
    </row>
    <row r="456" spans="1:11">
      <c r="A456" s="7" t="str">
        <f t="shared" si="8"/>
        <v/>
      </c>
      <c r="K456" s="39"/>
    </row>
    <row r="457" spans="1:11">
      <c r="A457" s="7" t="str">
        <f t="shared" si="8"/>
        <v/>
      </c>
      <c r="K457" s="39"/>
    </row>
    <row r="458" spans="1:11">
      <c r="A458" s="7" t="str">
        <f t="shared" si="8"/>
        <v/>
      </c>
      <c r="K458" s="39"/>
    </row>
    <row r="459" spans="1:11">
      <c r="A459" s="7" t="str">
        <f t="shared" si="8"/>
        <v/>
      </c>
      <c r="K459" s="39"/>
    </row>
    <row r="460" spans="1:11">
      <c r="A460" s="7" t="str">
        <f t="shared" si="8"/>
        <v/>
      </c>
      <c r="K460" s="39"/>
    </row>
    <row r="461" spans="1:11">
      <c r="A461" s="7" t="str">
        <f t="shared" si="8"/>
        <v/>
      </c>
      <c r="K461" s="39"/>
    </row>
    <row r="462" spans="1:11">
      <c r="A462" s="7" t="str">
        <f t="shared" si="8"/>
        <v/>
      </c>
      <c r="K462" s="39"/>
    </row>
    <row r="463" spans="1:11">
      <c r="A463" s="7" t="str">
        <f t="shared" si="8"/>
        <v/>
      </c>
      <c r="K463" s="39"/>
    </row>
    <row r="464" spans="1:11">
      <c r="A464" s="7" t="str">
        <f t="shared" si="8"/>
        <v/>
      </c>
      <c r="K464" s="39"/>
    </row>
    <row r="465" spans="1:11">
      <c r="A465" s="7" t="str">
        <f t="shared" si="8"/>
        <v/>
      </c>
      <c r="K465" s="39"/>
    </row>
    <row r="466" spans="1:11">
      <c r="A466" s="7" t="str">
        <f t="shared" si="8"/>
        <v/>
      </c>
      <c r="K466" s="39"/>
    </row>
    <row r="467" spans="1:11">
      <c r="A467" s="7" t="str">
        <f t="shared" si="8"/>
        <v/>
      </c>
      <c r="K467" s="39"/>
    </row>
    <row r="468" spans="1:11">
      <c r="A468" s="7" t="str">
        <f t="shared" si="8"/>
        <v/>
      </c>
      <c r="K468" s="39"/>
    </row>
    <row r="469" spans="1:11">
      <c r="A469" s="7" t="str">
        <f t="shared" si="8"/>
        <v/>
      </c>
      <c r="K469" s="39"/>
    </row>
    <row r="470" spans="1:11">
      <c r="A470" s="7" t="str">
        <f t="shared" si="8"/>
        <v/>
      </c>
      <c r="K470" s="39"/>
    </row>
    <row r="471" spans="1:11">
      <c r="A471" s="7" t="str">
        <f t="shared" si="8"/>
        <v/>
      </c>
      <c r="K471" s="39"/>
    </row>
    <row r="472" spans="1:11">
      <c r="A472" s="7" t="str">
        <f t="shared" si="8"/>
        <v/>
      </c>
      <c r="K472" s="39"/>
    </row>
    <row r="473" spans="1:11">
      <c r="A473" s="7" t="str">
        <f t="shared" si="8"/>
        <v/>
      </c>
      <c r="K473" s="39"/>
    </row>
    <row r="474" spans="1:11">
      <c r="A474" s="7" t="str">
        <f t="shared" si="8"/>
        <v/>
      </c>
      <c r="K474" s="39"/>
    </row>
    <row r="475" spans="1:11">
      <c r="A475" s="7" t="str">
        <f t="shared" si="8"/>
        <v/>
      </c>
      <c r="K475" s="39"/>
    </row>
    <row r="476" spans="1:11">
      <c r="A476" s="7" t="str">
        <f t="shared" si="8"/>
        <v/>
      </c>
      <c r="K476" s="39"/>
    </row>
    <row r="477" spans="1:11">
      <c r="A477" s="7" t="str">
        <f t="shared" si="8"/>
        <v/>
      </c>
      <c r="K477" s="39"/>
    </row>
    <row r="478" spans="1:11">
      <c r="A478" s="7" t="str">
        <f t="shared" si="8"/>
        <v/>
      </c>
      <c r="K478" s="39"/>
    </row>
    <row r="479" spans="1:11">
      <c r="A479" s="7" t="str">
        <f t="shared" si="8"/>
        <v/>
      </c>
      <c r="K479" s="39"/>
    </row>
    <row r="480" spans="1:11">
      <c r="A480" s="7" t="str">
        <f t="shared" si="8"/>
        <v/>
      </c>
      <c r="K480" s="39"/>
    </row>
    <row r="481" spans="1:11">
      <c r="A481" s="7" t="str">
        <f t="shared" si="8"/>
        <v/>
      </c>
      <c r="K481" s="39"/>
    </row>
    <row r="482" spans="1:11">
      <c r="A482" s="7" t="str">
        <f t="shared" si="8"/>
        <v/>
      </c>
      <c r="K482" s="39"/>
    </row>
    <row r="483" spans="1:11">
      <c r="A483" s="7" t="str">
        <f t="shared" si="8"/>
        <v/>
      </c>
      <c r="K483" s="39"/>
    </row>
    <row r="484" spans="1:11">
      <c r="A484" s="7" t="str">
        <f t="shared" si="8"/>
        <v/>
      </c>
      <c r="K484" s="39"/>
    </row>
    <row r="485" spans="1:11">
      <c r="A485" s="7" t="str">
        <f t="shared" si="8"/>
        <v/>
      </c>
      <c r="K485" s="39"/>
    </row>
    <row r="486" spans="1:11">
      <c r="A486" s="7" t="str">
        <f t="shared" si="8"/>
        <v/>
      </c>
      <c r="K486" s="39"/>
    </row>
    <row r="487" spans="1:11">
      <c r="A487" s="7" t="str">
        <f t="shared" si="8"/>
        <v/>
      </c>
      <c r="K487" s="39"/>
    </row>
    <row r="488" spans="1:11">
      <c r="A488" s="7" t="str">
        <f t="shared" si="8"/>
        <v/>
      </c>
      <c r="K488" s="39"/>
    </row>
    <row r="489" spans="1:11">
      <c r="A489" s="7" t="str">
        <f t="shared" si="8"/>
        <v/>
      </c>
      <c r="K489" s="39"/>
    </row>
    <row r="490" spans="1:11">
      <c r="A490" s="7" t="str">
        <f t="shared" si="8"/>
        <v/>
      </c>
      <c r="K490" s="39"/>
    </row>
    <row r="491" spans="1:11">
      <c r="A491" s="7" t="str">
        <f t="shared" si="8"/>
        <v/>
      </c>
      <c r="K491" s="39"/>
    </row>
    <row r="492" spans="1:11">
      <c r="A492" s="7" t="str">
        <f t="shared" si="8"/>
        <v/>
      </c>
      <c r="K492" s="39"/>
    </row>
    <row r="493" spans="1:11">
      <c r="A493" s="7" t="str">
        <f t="shared" si="8"/>
        <v/>
      </c>
      <c r="K493" s="39"/>
    </row>
    <row r="494" spans="1:11">
      <c r="A494" s="7" t="str">
        <f t="shared" si="8"/>
        <v/>
      </c>
      <c r="K494" s="39"/>
    </row>
    <row r="495" spans="1:11">
      <c r="A495" s="7" t="str">
        <f t="shared" si="8"/>
        <v/>
      </c>
      <c r="K495" s="39"/>
    </row>
    <row r="496" spans="1:11">
      <c r="A496" s="7" t="str">
        <f t="shared" si="8"/>
        <v/>
      </c>
      <c r="K496" s="39"/>
    </row>
    <row r="497" spans="1:11">
      <c r="A497" s="7" t="str">
        <f t="shared" si="8"/>
        <v/>
      </c>
      <c r="K497" s="39"/>
    </row>
    <row r="498" spans="1:11">
      <c r="A498" s="7" t="str">
        <f t="shared" si="8"/>
        <v/>
      </c>
      <c r="K498" s="39"/>
    </row>
    <row r="499" spans="1:11">
      <c r="A499" s="7" t="str">
        <f t="shared" si="8"/>
        <v/>
      </c>
      <c r="K499" s="39"/>
    </row>
    <row r="500" spans="1:11">
      <c r="A500" s="7" t="str">
        <f t="shared" si="8"/>
        <v/>
      </c>
      <c r="K500" s="39"/>
    </row>
    <row r="501" spans="1:11">
      <c r="A501" s="7" t="str">
        <f t="shared" si="8"/>
        <v/>
      </c>
      <c r="K501" s="39"/>
    </row>
    <row r="502" spans="1:11">
      <c r="A502" s="7" t="str">
        <f t="shared" si="8"/>
        <v/>
      </c>
      <c r="K502" s="39"/>
    </row>
    <row r="503" spans="1:11">
      <c r="A503" s="7" t="str">
        <f t="shared" si="8"/>
        <v/>
      </c>
      <c r="K503" s="39"/>
    </row>
    <row r="504" spans="1:11">
      <c r="A504" s="7" t="str">
        <f t="shared" si="8"/>
        <v/>
      </c>
      <c r="K504" s="39"/>
    </row>
    <row r="505" spans="1:11">
      <c r="A505" s="7" t="str">
        <f t="shared" si="8"/>
        <v/>
      </c>
      <c r="K505" s="39"/>
    </row>
    <row r="506" spans="1:11">
      <c r="A506" s="7" t="str">
        <f t="shared" si="8"/>
        <v/>
      </c>
      <c r="K506" s="39"/>
    </row>
    <row r="507" spans="1:11">
      <c r="A507" s="7" t="str">
        <f t="shared" si="8"/>
        <v/>
      </c>
      <c r="K507" s="39"/>
    </row>
    <row r="508" spans="1:11">
      <c r="A508" s="7" t="str">
        <f t="shared" si="8"/>
        <v/>
      </c>
      <c r="K508" s="39"/>
    </row>
    <row r="509" spans="1:11">
      <c r="A509" s="7" t="str">
        <f t="shared" si="8"/>
        <v/>
      </c>
      <c r="K509" s="39"/>
    </row>
    <row r="510" spans="1:11">
      <c r="A510" s="7" t="str">
        <f t="shared" si="8"/>
        <v/>
      </c>
      <c r="K510" s="39"/>
    </row>
    <row r="511" spans="1:11">
      <c r="A511" s="7" t="str">
        <f t="shared" si="8"/>
        <v/>
      </c>
      <c r="K511" s="39"/>
    </row>
    <row r="512" spans="1:11">
      <c r="A512" s="7" t="str">
        <f t="shared" si="8"/>
        <v/>
      </c>
      <c r="K512" s="39"/>
    </row>
    <row r="513" spans="1:11">
      <c r="A513" s="7" t="str">
        <f t="shared" si="8"/>
        <v/>
      </c>
      <c r="K513" s="39"/>
    </row>
    <row r="514" spans="1:11">
      <c r="A514" s="7" t="str">
        <f t="shared" si="8"/>
        <v/>
      </c>
      <c r="K514" s="39"/>
    </row>
    <row r="515" spans="1:11">
      <c r="A515" s="7" t="str">
        <f t="shared" ref="A515:A578" si="9">IF(B515="","",(ROW(B515)-1))</f>
        <v/>
      </c>
      <c r="K515" s="39"/>
    </row>
    <row r="516" spans="1:11">
      <c r="A516" s="7" t="str">
        <f t="shared" si="9"/>
        <v/>
      </c>
      <c r="K516" s="39"/>
    </row>
    <row r="517" spans="1:11">
      <c r="A517" s="7" t="str">
        <f t="shared" si="9"/>
        <v/>
      </c>
      <c r="K517" s="39"/>
    </row>
    <row r="518" spans="1:11">
      <c r="A518" s="7" t="str">
        <f t="shared" si="9"/>
        <v/>
      </c>
      <c r="K518" s="39"/>
    </row>
    <row r="519" spans="1:11">
      <c r="A519" s="7" t="str">
        <f t="shared" si="9"/>
        <v/>
      </c>
      <c r="K519" s="39"/>
    </row>
    <row r="520" spans="1:11">
      <c r="A520" s="7" t="str">
        <f t="shared" si="9"/>
        <v/>
      </c>
      <c r="K520" s="39"/>
    </row>
    <row r="521" spans="1:11">
      <c r="A521" s="7" t="str">
        <f t="shared" si="9"/>
        <v/>
      </c>
      <c r="K521" s="39"/>
    </row>
    <row r="522" spans="1:11">
      <c r="A522" s="7" t="str">
        <f t="shared" si="9"/>
        <v/>
      </c>
      <c r="K522" s="39"/>
    </row>
    <row r="523" spans="1:11">
      <c r="A523" s="7" t="str">
        <f t="shared" si="9"/>
        <v/>
      </c>
      <c r="K523" s="39"/>
    </row>
    <row r="524" spans="1:11">
      <c r="A524" s="7" t="str">
        <f t="shared" si="9"/>
        <v/>
      </c>
      <c r="K524" s="39"/>
    </row>
    <row r="525" spans="1:11">
      <c r="A525" s="7" t="str">
        <f t="shared" si="9"/>
        <v/>
      </c>
      <c r="K525" s="39"/>
    </row>
    <row r="526" spans="1:11">
      <c r="A526" s="7" t="str">
        <f t="shared" si="9"/>
        <v/>
      </c>
      <c r="K526" s="39"/>
    </row>
    <row r="527" spans="1:11">
      <c r="A527" s="7" t="str">
        <f t="shared" si="9"/>
        <v/>
      </c>
      <c r="K527" s="39"/>
    </row>
    <row r="528" spans="1:11">
      <c r="A528" s="7" t="str">
        <f t="shared" si="9"/>
        <v/>
      </c>
      <c r="K528" s="39"/>
    </row>
    <row r="529" spans="1:11">
      <c r="A529" s="7" t="str">
        <f t="shared" si="9"/>
        <v/>
      </c>
      <c r="K529" s="39"/>
    </row>
    <row r="530" spans="1:11">
      <c r="A530" s="7" t="str">
        <f t="shared" si="9"/>
        <v/>
      </c>
      <c r="K530" s="39"/>
    </row>
    <row r="531" spans="1:11">
      <c r="A531" s="7" t="str">
        <f t="shared" si="9"/>
        <v/>
      </c>
      <c r="K531" s="39"/>
    </row>
    <row r="532" spans="1:11">
      <c r="A532" s="7" t="str">
        <f t="shared" si="9"/>
        <v/>
      </c>
      <c r="K532" s="39"/>
    </row>
    <row r="533" spans="1:11">
      <c r="A533" s="7" t="str">
        <f t="shared" si="9"/>
        <v/>
      </c>
      <c r="K533" s="39"/>
    </row>
    <row r="534" spans="1:11">
      <c r="A534" s="7" t="str">
        <f t="shared" si="9"/>
        <v/>
      </c>
      <c r="K534" s="39"/>
    </row>
    <row r="535" spans="1:11">
      <c r="A535" s="7" t="str">
        <f t="shared" si="9"/>
        <v/>
      </c>
      <c r="K535" s="39"/>
    </row>
    <row r="536" spans="1:11">
      <c r="A536" s="7" t="str">
        <f t="shared" si="9"/>
        <v/>
      </c>
      <c r="K536" s="39"/>
    </row>
    <row r="537" spans="1:11">
      <c r="A537" s="7" t="str">
        <f t="shared" si="9"/>
        <v/>
      </c>
      <c r="K537" s="39"/>
    </row>
    <row r="538" spans="1:11">
      <c r="A538" s="7" t="str">
        <f t="shared" si="9"/>
        <v/>
      </c>
      <c r="K538" s="39"/>
    </row>
    <row r="539" spans="1:11">
      <c r="A539" s="7" t="str">
        <f t="shared" si="9"/>
        <v/>
      </c>
      <c r="K539" s="39"/>
    </row>
    <row r="540" spans="1:11">
      <c r="A540" s="7" t="str">
        <f t="shared" si="9"/>
        <v/>
      </c>
      <c r="K540" s="39"/>
    </row>
    <row r="541" spans="1:11">
      <c r="A541" s="7" t="str">
        <f t="shared" si="9"/>
        <v/>
      </c>
      <c r="K541" s="39"/>
    </row>
    <row r="542" spans="1:11">
      <c r="A542" s="7" t="str">
        <f t="shared" si="9"/>
        <v/>
      </c>
      <c r="K542" s="39"/>
    </row>
    <row r="543" spans="1:11">
      <c r="A543" s="7" t="str">
        <f t="shared" si="9"/>
        <v/>
      </c>
      <c r="K543" s="39"/>
    </row>
    <row r="544" spans="1:11">
      <c r="A544" s="7" t="str">
        <f t="shared" si="9"/>
        <v/>
      </c>
      <c r="K544" s="39"/>
    </row>
    <row r="545" spans="1:11">
      <c r="A545" s="7" t="str">
        <f t="shared" si="9"/>
        <v/>
      </c>
      <c r="K545" s="39"/>
    </row>
    <row r="546" spans="1:11">
      <c r="A546" s="7" t="str">
        <f t="shared" si="9"/>
        <v/>
      </c>
      <c r="K546" s="39"/>
    </row>
    <row r="547" spans="1:11">
      <c r="A547" s="7" t="str">
        <f t="shared" si="9"/>
        <v/>
      </c>
      <c r="K547" s="39"/>
    </row>
    <row r="548" spans="1:11">
      <c r="A548" s="7" t="str">
        <f t="shared" si="9"/>
        <v/>
      </c>
      <c r="K548" s="39"/>
    </row>
    <row r="549" spans="1:11">
      <c r="A549" s="7" t="str">
        <f t="shared" si="9"/>
        <v/>
      </c>
      <c r="K549" s="39"/>
    </row>
    <row r="550" spans="1:11">
      <c r="A550" s="7" t="str">
        <f t="shared" si="9"/>
        <v/>
      </c>
      <c r="K550" s="39"/>
    </row>
    <row r="551" spans="1:11">
      <c r="A551" s="7" t="str">
        <f t="shared" si="9"/>
        <v/>
      </c>
      <c r="K551" s="39"/>
    </row>
    <row r="552" spans="1:11">
      <c r="A552" s="7" t="str">
        <f t="shared" si="9"/>
        <v/>
      </c>
      <c r="K552" s="39"/>
    </row>
    <row r="553" spans="1:11">
      <c r="A553" s="7" t="str">
        <f t="shared" si="9"/>
        <v/>
      </c>
      <c r="K553" s="39"/>
    </row>
    <row r="554" spans="1:11">
      <c r="A554" s="7" t="str">
        <f t="shared" si="9"/>
        <v/>
      </c>
      <c r="K554" s="39"/>
    </row>
    <row r="555" spans="1:11">
      <c r="A555" s="7" t="str">
        <f t="shared" si="9"/>
        <v/>
      </c>
      <c r="K555" s="39"/>
    </row>
    <row r="556" spans="1:11">
      <c r="A556" s="7" t="str">
        <f t="shared" si="9"/>
        <v/>
      </c>
      <c r="K556" s="39"/>
    </row>
    <row r="557" spans="1:11">
      <c r="A557" s="7" t="str">
        <f t="shared" si="9"/>
        <v/>
      </c>
      <c r="K557" s="39"/>
    </row>
    <row r="558" spans="1:11">
      <c r="A558" s="7" t="str">
        <f t="shared" si="9"/>
        <v/>
      </c>
      <c r="K558" s="39"/>
    </row>
    <row r="559" spans="1:11">
      <c r="A559" s="7" t="str">
        <f t="shared" si="9"/>
        <v/>
      </c>
      <c r="K559" s="39"/>
    </row>
    <row r="560" spans="1:11">
      <c r="A560" s="7" t="str">
        <f t="shared" si="9"/>
        <v/>
      </c>
      <c r="K560" s="39"/>
    </row>
    <row r="561" spans="1:11">
      <c r="A561" s="7" t="str">
        <f t="shared" si="9"/>
        <v/>
      </c>
      <c r="K561" s="39"/>
    </row>
    <row r="562" spans="1:11">
      <c r="A562" s="7" t="str">
        <f t="shared" si="9"/>
        <v/>
      </c>
      <c r="K562" s="39"/>
    </row>
    <row r="563" spans="1:11">
      <c r="A563" s="7" t="str">
        <f t="shared" si="9"/>
        <v/>
      </c>
      <c r="K563" s="39"/>
    </row>
    <row r="564" spans="1:11">
      <c r="A564" s="7" t="str">
        <f t="shared" si="9"/>
        <v/>
      </c>
      <c r="K564" s="39"/>
    </row>
    <row r="565" spans="1:11">
      <c r="A565" s="7" t="str">
        <f t="shared" si="9"/>
        <v/>
      </c>
      <c r="K565" s="39"/>
    </row>
    <row r="566" spans="1:11">
      <c r="A566" s="7" t="str">
        <f t="shared" si="9"/>
        <v/>
      </c>
      <c r="K566" s="39"/>
    </row>
    <row r="567" spans="1:11">
      <c r="A567" s="7" t="str">
        <f t="shared" si="9"/>
        <v/>
      </c>
      <c r="K567" s="39"/>
    </row>
    <row r="568" spans="1:11">
      <c r="A568" s="7" t="str">
        <f t="shared" si="9"/>
        <v/>
      </c>
      <c r="K568" s="39"/>
    </row>
    <row r="569" spans="1:11">
      <c r="A569" s="7" t="str">
        <f t="shared" si="9"/>
        <v/>
      </c>
      <c r="K569" s="39"/>
    </row>
    <row r="570" spans="1:11">
      <c r="A570" s="7" t="str">
        <f t="shared" si="9"/>
        <v/>
      </c>
      <c r="K570" s="39"/>
    </row>
    <row r="571" spans="1:11">
      <c r="A571" s="7" t="str">
        <f t="shared" si="9"/>
        <v/>
      </c>
      <c r="K571" s="39"/>
    </row>
    <row r="572" spans="1:11">
      <c r="A572" s="7" t="str">
        <f t="shared" si="9"/>
        <v/>
      </c>
      <c r="K572" s="39"/>
    </row>
    <row r="573" spans="1:11">
      <c r="A573" s="7" t="str">
        <f t="shared" si="9"/>
        <v/>
      </c>
      <c r="K573" s="39"/>
    </row>
    <row r="574" spans="1:11">
      <c r="A574" s="7" t="str">
        <f t="shared" si="9"/>
        <v/>
      </c>
      <c r="K574" s="39"/>
    </row>
    <row r="575" spans="1:11">
      <c r="A575" s="7" t="str">
        <f t="shared" si="9"/>
        <v/>
      </c>
      <c r="K575" s="39"/>
    </row>
    <row r="576" spans="1:11">
      <c r="A576" s="7" t="str">
        <f t="shared" si="9"/>
        <v/>
      </c>
      <c r="K576" s="39"/>
    </row>
    <row r="577" spans="1:11">
      <c r="A577" s="7" t="str">
        <f t="shared" si="9"/>
        <v/>
      </c>
      <c r="K577" s="39"/>
    </row>
    <row r="578" spans="1:11">
      <c r="A578" s="7" t="str">
        <f t="shared" si="9"/>
        <v/>
      </c>
      <c r="K578" s="39"/>
    </row>
    <row r="579" spans="1:11">
      <c r="A579" s="7" t="str">
        <f t="shared" ref="A579:A642" si="10">IF(B579="","",(ROW(B579)-1))</f>
        <v/>
      </c>
      <c r="K579" s="39"/>
    </row>
    <row r="580" spans="1:11">
      <c r="A580" s="7" t="str">
        <f t="shared" si="10"/>
        <v/>
      </c>
      <c r="K580" s="39"/>
    </row>
    <row r="581" spans="1:11">
      <c r="A581" s="7" t="str">
        <f t="shared" si="10"/>
        <v/>
      </c>
      <c r="K581" s="39"/>
    </row>
    <row r="582" spans="1:11">
      <c r="A582" s="7" t="str">
        <f t="shared" si="10"/>
        <v/>
      </c>
      <c r="K582" s="39"/>
    </row>
    <row r="583" spans="1:11">
      <c r="A583" s="7" t="str">
        <f t="shared" si="10"/>
        <v/>
      </c>
      <c r="K583" s="39"/>
    </row>
    <row r="584" spans="1:11">
      <c r="A584" s="7" t="str">
        <f t="shared" si="10"/>
        <v/>
      </c>
      <c r="K584" s="39"/>
    </row>
    <row r="585" spans="1:11">
      <c r="A585" s="7" t="str">
        <f t="shared" si="10"/>
        <v/>
      </c>
      <c r="K585" s="39"/>
    </row>
    <row r="586" spans="1:11">
      <c r="A586" s="7" t="str">
        <f t="shared" si="10"/>
        <v/>
      </c>
      <c r="K586" s="39"/>
    </row>
    <row r="587" spans="1:11">
      <c r="A587" s="7" t="str">
        <f t="shared" si="10"/>
        <v/>
      </c>
      <c r="K587" s="39"/>
    </row>
    <row r="588" spans="1:11">
      <c r="A588" s="7" t="str">
        <f t="shared" si="10"/>
        <v/>
      </c>
      <c r="K588" s="39"/>
    </row>
    <row r="589" spans="1:11">
      <c r="A589" s="7" t="str">
        <f t="shared" si="10"/>
        <v/>
      </c>
      <c r="K589" s="39"/>
    </row>
    <row r="590" spans="1:11">
      <c r="A590" s="7" t="str">
        <f t="shared" si="10"/>
        <v/>
      </c>
      <c r="K590" s="39"/>
    </row>
    <row r="591" spans="1:11">
      <c r="A591" s="7" t="str">
        <f t="shared" si="10"/>
        <v/>
      </c>
      <c r="K591" s="39"/>
    </row>
    <row r="592" spans="1:11">
      <c r="A592" s="7" t="str">
        <f t="shared" si="10"/>
        <v/>
      </c>
      <c r="K592" s="39"/>
    </row>
    <row r="593" spans="1:11">
      <c r="A593" s="7" t="str">
        <f t="shared" si="10"/>
        <v/>
      </c>
      <c r="K593" s="39"/>
    </row>
    <row r="594" spans="1:11">
      <c r="A594" s="7" t="str">
        <f t="shared" si="10"/>
        <v/>
      </c>
      <c r="K594" s="39"/>
    </row>
    <row r="595" spans="1:11">
      <c r="A595" s="7" t="str">
        <f t="shared" si="10"/>
        <v/>
      </c>
      <c r="K595" s="39"/>
    </row>
    <row r="596" spans="1:11">
      <c r="A596" s="7" t="str">
        <f t="shared" si="10"/>
        <v/>
      </c>
      <c r="K596" s="39"/>
    </row>
    <row r="597" spans="1:11">
      <c r="A597" s="7" t="str">
        <f t="shared" si="10"/>
        <v/>
      </c>
      <c r="K597" s="39"/>
    </row>
    <row r="598" spans="1:11">
      <c r="A598" s="7" t="str">
        <f t="shared" si="10"/>
        <v/>
      </c>
      <c r="K598" s="39"/>
    </row>
    <row r="599" spans="1:11">
      <c r="A599" s="7" t="str">
        <f t="shared" si="10"/>
        <v/>
      </c>
      <c r="K599" s="39"/>
    </row>
    <row r="600" spans="1:11">
      <c r="A600" s="7" t="str">
        <f t="shared" si="10"/>
        <v/>
      </c>
      <c r="K600" s="39"/>
    </row>
    <row r="601" spans="1:11">
      <c r="A601" s="7" t="str">
        <f t="shared" si="10"/>
        <v/>
      </c>
      <c r="K601" s="39"/>
    </row>
    <row r="602" spans="1:11">
      <c r="A602" s="7" t="str">
        <f t="shared" si="10"/>
        <v/>
      </c>
      <c r="K602" s="39"/>
    </row>
    <row r="603" spans="1:11">
      <c r="A603" s="7" t="str">
        <f t="shared" si="10"/>
        <v/>
      </c>
      <c r="K603" s="39"/>
    </row>
    <row r="604" spans="1:11">
      <c r="A604" s="7" t="str">
        <f t="shared" si="10"/>
        <v/>
      </c>
      <c r="K604" s="39"/>
    </row>
    <row r="605" spans="1:11">
      <c r="A605" s="7" t="str">
        <f t="shared" si="10"/>
        <v/>
      </c>
      <c r="K605" s="39"/>
    </row>
    <row r="606" spans="1:11">
      <c r="A606" s="7" t="str">
        <f t="shared" si="10"/>
        <v/>
      </c>
      <c r="K606" s="39"/>
    </row>
    <row r="607" spans="1:11">
      <c r="A607" s="7" t="str">
        <f t="shared" si="10"/>
        <v/>
      </c>
      <c r="K607" s="39"/>
    </row>
    <row r="608" spans="1:11">
      <c r="A608" s="7" t="str">
        <f t="shared" si="10"/>
        <v/>
      </c>
      <c r="K608" s="39"/>
    </row>
    <row r="609" spans="1:11">
      <c r="A609" s="7" t="str">
        <f t="shared" si="10"/>
        <v/>
      </c>
      <c r="K609" s="39"/>
    </row>
    <row r="610" spans="1:11">
      <c r="A610" s="7" t="str">
        <f t="shared" si="10"/>
        <v/>
      </c>
      <c r="K610" s="39"/>
    </row>
    <row r="611" spans="1:11">
      <c r="A611" s="7" t="str">
        <f t="shared" si="10"/>
        <v/>
      </c>
      <c r="K611" s="39"/>
    </row>
    <row r="612" spans="1:11">
      <c r="A612" s="7" t="str">
        <f t="shared" si="10"/>
        <v/>
      </c>
      <c r="K612" s="39"/>
    </row>
    <row r="613" spans="1:11">
      <c r="A613" s="7" t="str">
        <f t="shared" si="10"/>
        <v/>
      </c>
      <c r="K613" s="39"/>
    </row>
    <row r="614" spans="1:11">
      <c r="A614" s="7" t="str">
        <f t="shared" si="10"/>
        <v/>
      </c>
      <c r="K614" s="39"/>
    </row>
    <row r="615" spans="1:11">
      <c r="A615" s="7" t="str">
        <f t="shared" si="10"/>
        <v/>
      </c>
      <c r="K615" s="39"/>
    </row>
    <row r="616" spans="1:11">
      <c r="A616" s="7" t="str">
        <f t="shared" si="10"/>
        <v/>
      </c>
      <c r="K616" s="39"/>
    </row>
    <row r="617" spans="1:11">
      <c r="A617" s="7" t="str">
        <f t="shared" si="10"/>
        <v/>
      </c>
      <c r="K617" s="39"/>
    </row>
    <row r="618" spans="1:11">
      <c r="A618" s="7" t="str">
        <f t="shared" si="10"/>
        <v/>
      </c>
      <c r="K618" s="39"/>
    </row>
    <row r="619" spans="1:11">
      <c r="A619" s="7" t="str">
        <f t="shared" si="10"/>
        <v/>
      </c>
      <c r="K619" s="39"/>
    </row>
    <row r="620" spans="1:11">
      <c r="A620" s="7" t="str">
        <f t="shared" si="10"/>
        <v/>
      </c>
      <c r="K620" s="39"/>
    </row>
    <row r="621" spans="1:11">
      <c r="A621" s="7" t="str">
        <f t="shared" si="10"/>
        <v/>
      </c>
      <c r="K621" s="39"/>
    </row>
    <row r="622" spans="1:11">
      <c r="A622" s="7" t="str">
        <f t="shared" si="10"/>
        <v/>
      </c>
      <c r="K622" s="39"/>
    </row>
    <row r="623" spans="1:11">
      <c r="A623" s="7" t="str">
        <f t="shared" si="10"/>
        <v/>
      </c>
      <c r="K623" s="39"/>
    </row>
    <row r="624" spans="1:11">
      <c r="A624" s="7" t="str">
        <f t="shared" si="10"/>
        <v/>
      </c>
      <c r="K624" s="39"/>
    </row>
    <row r="625" spans="1:11">
      <c r="A625" s="7" t="str">
        <f t="shared" si="10"/>
        <v/>
      </c>
      <c r="K625" s="39"/>
    </row>
    <row r="626" spans="1:11">
      <c r="A626" s="7" t="str">
        <f t="shared" si="10"/>
        <v/>
      </c>
      <c r="K626" s="39"/>
    </row>
    <row r="627" spans="1:11">
      <c r="A627" s="7" t="str">
        <f t="shared" si="10"/>
        <v/>
      </c>
      <c r="K627" s="39"/>
    </row>
    <row r="628" spans="1:11">
      <c r="A628" s="7" t="str">
        <f t="shared" si="10"/>
        <v/>
      </c>
      <c r="K628" s="39"/>
    </row>
    <row r="629" spans="1:11">
      <c r="A629" s="7" t="str">
        <f t="shared" si="10"/>
        <v/>
      </c>
      <c r="K629" s="39"/>
    </row>
    <row r="630" spans="1:11">
      <c r="A630" s="7" t="str">
        <f t="shared" si="10"/>
        <v/>
      </c>
      <c r="K630" s="39"/>
    </row>
    <row r="631" spans="1:11">
      <c r="A631" s="7" t="str">
        <f t="shared" si="10"/>
        <v/>
      </c>
      <c r="K631" s="39"/>
    </row>
    <row r="632" spans="1:11">
      <c r="A632" s="7" t="str">
        <f t="shared" si="10"/>
        <v/>
      </c>
      <c r="K632" s="39"/>
    </row>
    <row r="633" spans="1:11">
      <c r="A633" s="7" t="str">
        <f t="shared" si="10"/>
        <v/>
      </c>
      <c r="K633" s="39"/>
    </row>
    <row r="634" spans="1:11">
      <c r="A634" s="7" t="str">
        <f t="shared" si="10"/>
        <v/>
      </c>
      <c r="K634" s="39"/>
    </row>
    <row r="635" spans="1:11">
      <c r="A635" s="7" t="str">
        <f t="shared" si="10"/>
        <v/>
      </c>
      <c r="K635" s="39"/>
    </row>
    <row r="636" spans="1:11">
      <c r="A636" s="7" t="str">
        <f t="shared" si="10"/>
        <v/>
      </c>
      <c r="K636" s="39"/>
    </row>
    <row r="637" spans="1:11">
      <c r="A637" s="7" t="str">
        <f t="shared" si="10"/>
        <v/>
      </c>
      <c r="K637" s="39"/>
    </row>
    <row r="638" spans="1:11">
      <c r="A638" s="7" t="str">
        <f t="shared" si="10"/>
        <v/>
      </c>
      <c r="K638" s="39"/>
    </row>
    <row r="639" spans="1:11">
      <c r="A639" s="7" t="str">
        <f t="shared" si="10"/>
        <v/>
      </c>
      <c r="K639" s="39"/>
    </row>
    <row r="640" spans="1:11">
      <c r="A640" s="7" t="str">
        <f t="shared" si="10"/>
        <v/>
      </c>
      <c r="K640" s="39"/>
    </row>
    <row r="641" spans="1:11">
      <c r="A641" s="7" t="str">
        <f t="shared" si="10"/>
        <v/>
      </c>
      <c r="K641" s="39"/>
    </row>
    <row r="642" spans="1:11">
      <c r="A642" s="7" t="str">
        <f t="shared" si="10"/>
        <v/>
      </c>
      <c r="K642" s="39"/>
    </row>
    <row r="643" spans="1:11">
      <c r="A643" s="7" t="str">
        <f t="shared" ref="A643:A706" si="11">IF(B643="","",(ROW(B643)-1))</f>
        <v/>
      </c>
      <c r="K643" s="39"/>
    </row>
    <row r="644" spans="1:11">
      <c r="A644" s="7" t="str">
        <f t="shared" si="11"/>
        <v/>
      </c>
      <c r="K644" s="39"/>
    </row>
    <row r="645" spans="1:11">
      <c r="A645" s="7" t="str">
        <f t="shared" si="11"/>
        <v/>
      </c>
      <c r="K645" s="39"/>
    </row>
    <row r="646" spans="1:11">
      <c r="A646" s="7" t="str">
        <f t="shared" si="11"/>
        <v/>
      </c>
      <c r="K646" s="39"/>
    </row>
    <row r="647" spans="1:11">
      <c r="A647" s="7" t="str">
        <f t="shared" si="11"/>
        <v/>
      </c>
      <c r="K647" s="39"/>
    </row>
    <row r="648" spans="1:11">
      <c r="A648" s="7" t="str">
        <f t="shared" si="11"/>
        <v/>
      </c>
      <c r="K648" s="39"/>
    </row>
    <row r="649" spans="1:11">
      <c r="A649" s="7" t="str">
        <f t="shared" si="11"/>
        <v/>
      </c>
      <c r="K649" s="39"/>
    </row>
    <row r="650" spans="1:11">
      <c r="A650" s="7" t="str">
        <f t="shared" si="11"/>
        <v/>
      </c>
      <c r="K650" s="39"/>
    </row>
    <row r="651" spans="1:11">
      <c r="A651" s="7" t="str">
        <f t="shared" si="11"/>
        <v/>
      </c>
      <c r="K651" s="39"/>
    </row>
    <row r="652" spans="1:11">
      <c r="A652" s="7" t="str">
        <f t="shared" si="11"/>
        <v/>
      </c>
      <c r="K652" s="39"/>
    </row>
    <row r="653" spans="1:11">
      <c r="A653" s="7" t="str">
        <f t="shared" si="11"/>
        <v/>
      </c>
      <c r="K653" s="39"/>
    </row>
    <row r="654" spans="1:11">
      <c r="A654" s="7" t="str">
        <f t="shared" si="11"/>
        <v/>
      </c>
      <c r="K654" s="39"/>
    </row>
    <row r="655" spans="1:11">
      <c r="A655" s="7" t="str">
        <f t="shared" si="11"/>
        <v/>
      </c>
      <c r="K655" s="39"/>
    </row>
    <row r="656" spans="1:11">
      <c r="A656" s="7" t="str">
        <f t="shared" si="11"/>
        <v/>
      </c>
      <c r="K656" s="39"/>
    </row>
    <row r="657" spans="1:11">
      <c r="A657" s="7" t="str">
        <f t="shared" si="11"/>
        <v/>
      </c>
      <c r="K657" s="39"/>
    </row>
    <row r="658" spans="1:11">
      <c r="A658" s="7" t="str">
        <f t="shared" si="11"/>
        <v/>
      </c>
      <c r="K658" s="39"/>
    </row>
    <row r="659" spans="1:11">
      <c r="A659" s="7" t="str">
        <f t="shared" si="11"/>
        <v/>
      </c>
      <c r="K659" s="39"/>
    </row>
    <row r="660" spans="1:11">
      <c r="A660" s="7" t="str">
        <f t="shared" si="11"/>
        <v/>
      </c>
      <c r="K660" s="39"/>
    </row>
    <row r="661" spans="1:11">
      <c r="A661" s="7" t="str">
        <f t="shared" si="11"/>
        <v/>
      </c>
      <c r="K661" s="39"/>
    </row>
    <row r="662" spans="1:11">
      <c r="A662" s="7" t="str">
        <f t="shared" si="11"/>
        <v/>
      </c>
      <c r="K662" s="39"/>
    </row>
    <row r="663" spans="1:11">
      <c r="A663" s="7" t="str">
        <f t="shared" si="11"/>
        <v/>
      </c>
      <c r="K663" s="39"/>
    </row>
    <row r="664" spans="1:11">
      <c r="A664" s="7" t="str">
        <f t="shared" si="11"/>
        <v/>
      </c>
      <c r="K664" s="39"/>
    </row>
    <row r="665" spans="1:11">
      <c r="A665" s="7" t="str">
        <f t="shared" si="11"/>
        <v/>
      </c>
      <c r="K665" s="39"/>
    </row>
    <row r="666" spans="1:11">
      <c r="A666" s="7" t="str">
        <f t="shared" si="11"/>
        <v/>
      </c>
      <c r="K666" s="39"/>
    </row>
    <row r="667" spans="1:11">
      <c r="A667" s="7" t="str">
        <f t="shared" si="11"/>
        <v/>
      </c>
      <c r="K667" s="39"/>
    </row>
    <row r="668" spans="1:11">
      <c r="A668" s="7" t="str">
        <f t="shared" si="11"/>
        <v/>
      </c>
      <c r="K668" s="39"/>
    </row>
    <row r="669" spans="1:11">
      <c r="A669" s="7" t="str">
        <f t="shared" si="11"/>
        <v/>
      </c>
      <c r="K669" s="39"/>
    </row>
    <row r="670" spans="1:11">
      <c r="A670" s="7" t="str">
        <f t="shared" si="11"/>
        <v/>
      </c>
      <c r="K670" s="39"/>
    </row>
    <row r="671" spans="1:11">
      <c r="A671" s="7" t="str">
        <f t="shared" si="11"/>
        <v/>
      </c>
      <c r="K671" s="39"/>
    </row>
    <row r="672" spans="1:11">
      <c r="A672" s="7" t="str">
        <f t="shared" si="11"/>
        <v/>
      </c>
      <c r="K672" s="39"/>
    </row>
    <row r="673" spans="1:11">
      <c r="A673" s="7" t="str">
        <f t="shared" si="11"/>
        <v/>
      </c>
      <c r="K673" s="39"/>
    </row>
    <row r="674" spans="1:11">
      <c r="A674" s="7" t="str">
        <f t="shared" si="11"/>
        <v/>
      </c>
      <c r="K674" s="39"/>
    </row>
    <row r="675" spans="1:11">
      <c r="A675" s="7" t="str">
        <f t="shared" si="11"/>
        <v/>
      </c>
      <c r="K675" s="39"/>
    </row>
    <row r="676" spans="1:11">
      <c r="A676" s="7" t="str">
        <f t="shared" si="11"/>
        <v/>
      </c>
      <c r="K676" s="39"/>
    </row>
    <row r="677" spans="1:11">
      <c r="A677" s="7" t="str">
        <f t="shared" si="11"/>
        <v/>
      </c>
      <c r="K677" s="39"/>
    </row>
    <row r="678" spans="1:11">
      <c r="A678" s="7" t="str">
        <f t="shared" si="11"/>
        <v/>
      </c>
      <c r="K678" s="39"/>
    </row>
    <row r="679" spans="1:11">
      <c r="A679" s="7" t="str">
        <f t="shared" si="11"/>
        <v/>
      </c>
      <c r="K679" s="39"/>
    </row>
    <row r="680" spans="1:11">
      <c r="A680" s="7" t="str">
        <f t="shared" si="11"/>
        <v/>
      </c>
      <c r="K680" s="39"/>
    </row>
    <row r="681" spans="1:11">
      <c r="A681" s="7" t="str">
        <f t="shared" si="11"/>
        <v/>
      </c>
      <c r="K681" s="39"/>
    </row>
    <row r="682" spans="1:11">
      <c r="A682" s="7" t="str">
        <f t="shared" si="11"/>
        <v/>
      </c>
      <c r="K682" s="39"/>
    </row>
    <row r="683" spans="1:11">
      <c r="A683" s="7" t="str">
        <f t="shared" si="11"/>
        <v/>
      </c>
      <c r="K683" s="39"/>
    </row>
    <row r="684" spans="1:11">
      <c r="A684" s="7" t="str">
        <f t="shared" si="11"/>
        <v/>
      </c>
      <c r="K684" s="39"/>
    </row>
    <row r="685" spans="1:11">
      <c r="A685" s="7" t="str">
        <f t="shared" si="11"/>
        <v/>
      </c>
      <c r="K685" s="39"/>
    </row>
    <row r="686" spans="1:11">
      <c r="A686" s="7" t="str">
        <f t="shared" si="11"/>
        <v/>
      </c>
      <c r="K686" s="39"/>
    </row>
    <row r="687" spans="1:11">
      <c r="A687" s="7" t="str">
        <f t="shared" si="11"/>
        <v/>
      </c>
      <c r="K687" s="39"/>
    </row>
    <row r="688" spans="1:11">
      <c r="A688" s="7" t="str">
        <f t="shared" si="11"/>
        <v/>
      </c>
      <c r="K688" s="39"/>
    </row>
    <row r="689" spans="1:11">
      <c r="A689" s="7" t="str">
        <f t="shared" si="11"/>
        <v/>
      </c>
      <c r="K689" s="39"/>
    </row>
    <row r="690" spans="1:11">
      <c r="A690" s="7" t="str">
        <f t="shared" si="11"/>
        <v/>
      </c>
      <c r="K690" s="39"/>
    </row>
    <row r="691" spans="1:11">
      <c r="A691" s="7" t="str">
        <f t="shared" si="11"/>
        <v/>
      </c>
      <c r="K691" s="39"/>
    </row>
    <row r="692" spans="1:11">
      <c r="A692" s="7" t="str">
        <f t="shared" si="11"/>
        <v/>
      </c>
      <c r="K692" s="39"/>
    </row>
    <row r="693" spans="1:11">
      <c r="A693" s="7" t="str">
        <f t="shared" si="11"/>
        <v/>
      </c>
      <c r="K693" s="39"/>
    </row>
    <row r="694" spans="1:11">
      <c r="A694" s="7" t="str">
        <f t="shared" si="11"/>
        <v/>
      </c>
      <c r="K694" s="39"/>
    </row>
    <row r="695" spans="1:11">
      <c r="A695" s="7" t="str">
        <f t="shared" si="11"/>
        <v/>
      </c>
      <c r="K695" s="39"/>
    </row>
    <row r="696" spans="1:11">
      <c r="A696" s="7" t="str">
        <f t="shared" si="11"/>
        <v/>
      </c>
      <c r="K696" s="39"/>
    </row>
    <row r="697" spans="1:11">
      <c r="A697" s="7" t="str">
        <f t="shared" si="11"/>
        <v/>
      </c>
      <c r="K697" s="39"/>
    </row>
    <row r="698" spans="1:11">
      <c r="A698" s="7" t="str">
        <f t="shared" si="11"/>
        <v/>
      </c>
      <c r="K698" s="39"/>
    </row>
    <row r="699" spans="1:11">
      <c r="A699" s="7" t="str">
        <f t="shared" si="11"/>
        <v/>
      </c>
      <c r="K699" s="39"/>
    </row>
    <row r="700" spans="1:11">
      <c r="A700" s="7" t="str">
        <f t="shared" si="11"/>
        <v/>
      </c>
      <c r="K700" s="39"/>
    </row>
    <row r="701" spans="1:11">
      <c r="A701" s="7" t="str">
        <f t="shared" si="11"/>
        <v/>
      </c>
      <c r="K701" s="39"/>
    </row>
    <row r="702" spans="1:11">
      <c r="A702" s="7" t="str">
        <f t="shared" si="11"/>
        <v/>
      </c>
      <c r="K702" s="39"/>
    </row>
    <row r="703" spans="1:11">
      <c r="A703" s="7" t="str">
        <f t="shared" si="11"/>
        <v/>
      </c>
      <c r="K703" s="39"/>
    </row>
    <row r="704" spans="1:11">
      <c r="A704" s="7" t="str">
        <f t="shared" si="11"/>
        <v/>
      </c>
      <c r="K704" s="39"/>
    </row>
    <row r="705" spans="1:11">
      <c r="A705" s="7" t="str">
        <f t="shared" si="11"/>
        <v/>
      </c>
      <c r="K705" s="39"/>
    </row>
    <row r="706" spans="1:11">
      <c r="A706" s="7" t="str">
        <f t="shared" si="11"/>
        <v/>
      </c>
      <c r="K706" s="39"/>
    </row>
    <row r="707" spans="1:11">
      <c r="A707" s="7" t="str">
        <f t="shared" ref="A707:A770" si="12">IF(B707="","",(ROW(B707)-1))</f>
        <v/>
      </c>
      <c r="K707" s="39"/>
    </row>
    <row r="708" spans="1:11">
      <c r="A708" s="7" t="str">
        <f t="shared" si="12"/>
        <v/>
      </c>
      <c r="K708" s="39"/>
    </row>
    <row r="709" spans="1:11">
      <c r="A709" s="7" t="str">
        <f t="shared" si="12"/>
        <v/>
      </c>
      <c r="K709" s="39"/>
    </row>
    <row r="710" spans="1:11">
      <c r="A710" s="7" t="str">
        <f t="shared" si="12"/>
        <v/>
      </c>
      <c r="K710" s="39"/>
    </row>
    <row r="711" spans="1:11">
      <c r="A711" s="7" t="str">
        <f t="shared" si="12"/>
        <v/>
      </c>
      <c r="K711" s="39"/>
    </row>
    <row r="712" spans="1:11">
      <c r="A712" s="7" t="str">
        <f t="shared" si="12"/>
        <v/>
      </c>
      <c r="K712" s="39"/>
    </row>
    <row r="713" spans="1:11">
      <c r="A713" s="7" t="str">
        <f t="shared" si="12"/>
        <v/>
      </c>
      <c r="K713" s="39"/>
    </row>
    <row r="714" spans="1:11">
      <c r="A714" s="7" t="str">
        <f t="shared" si="12"/>
        <v/>
      </c>
      <c r="K714" s="39"/>
    </row>
    <row r="715" spans="1:11">
      <c r="A715" s="7" t="str">
        <f t="shared" si="12"/>
        <v/>
      </c>
      <c r="K715" s="39"/>
    </row>
    <row r="716" spans="1:11">
      <c r="A716" s="7" t="str">
        <f t="shared" si="12"/>
        <v/>
      </c>
      <c r="K716" s="39"/>
    </row>
    <row r="717" spans="1:11">
      <c r="A717" s="7" t="str">
        <f t="shared" si="12"/>
        <v/>
      </c>
      <c r="K717" s="39"/>
    </row>
    <row r="718" spans="1:11">
      <c r="A718" s="7" t="str">
        <f t="shared" si="12"/>
        <v/>
      </c>
      <c r="K718" s="39"/>
    </row>
    <row r="719" spans="1:11">
      <c r="A719" s="7" t="str">
        <f t="shared" si="12"/>
        <v/>
      </c>
      <c r="K719" s="39"/>
    </row>
    <row r="720" spans="1:11">
      <c r="A720" s="7" t="str">
        <f t="shared" si="12"/>
        <v/>
      </c>
      <c r="K720" s="39"/>
    </row>
    <row r="721" spans="1:11">
      <c r="A721" s="7" t="str">
        <f t="shared" si="12"/>
        <v/>
      </c>
      <c r="K721" s="39"/>
    </row>
    <row r="722" spans="1:11">
      <c r="A722" s="7" t="str">
        <f t="shared" si="12"/>
        <v/>
      </c>
      <c r="K722" s="39"/>
    </row>
    <row r="723" spans="1:11">
      <c r="A723" s="7" t="str">
        <f t="shared" si="12"/>
        <v/>
      </c>
      <c r="K723" s="39"/>
    </row>
    <row r="724" spans="1:11">
      <c r="A724" s="7" t="str">
        <f t="shared" si="12"/>
        <v/>
      </c>
      <c r="K724" s="39"/>
    </row>
    <row r="725" spans="1:11">
      <c r="A725" s="7" t="str">
        <f t="shared" si="12"/>
        <v/>
      </c>
      <c r="K725" s="39"/>
    </row>
    <row r="726" spans="1:11">
      <c r="A726" s="7" t="str">
        <f t="shared" si="12"/>
        <v/>
      </c>
      <c r="K726" s="39"/>
    </row>
    <row r="727" spans="1:11">
      <c r="A727" s="7" t="str">
        <f t="shared" si="12"/>
        <v/>
      </c>
      <c r="K727" s="39"/>
    </row>
    <row r="728" spans="1:11">
      <c r="A728" s="7" t="str">
        <f t="shared" si="12"/>
        <v/>
      </c>
      <c r="K728" s="39"/>
    </row>
    <row r="729" spans="1:11">
      <c r="A729" s="7" t="str">
        <f t="shared" si="12"/>
        <v/>
      </c>
      <c r="K729" s="39"/>
    </row>
    <row r="730" spans="1:11">
      <c r="A730" s="7" t="str">
        <f t="shared" si="12"/>
        <v/>
      </c>
      <c r="K730" s="39"/>
    </row>
    <row r="731" spans="1:11">
      <c r="A731" s="7" t="str">
        <f t="shared" si="12"/>
        <v/>
      </c>
      <c r="K731" s="39"/>
    </row>
    <row r="732" spans="1:11">
      <c r="A732" s="7" t="str">
        <f t="shared" si="12"/>
        <v/>
      </c>
      <c r="K732" s="39"/>
    </row>
    <row r="733" spans="1:11">
      <c r="A733" s="7" t="str">
        <f t="shared" si="12"/>
        <v/>
      </c>
      <c r="K733" s="39"/>
    </row>
    <row r="734" spans="1:11">
      <c r="A734" s="7" t="str">
        <f t="shared" si="12"/>
        <v/>
      </c>
      <c r="K734" s="39"/>
    </row>
    <row r="735" spans="1:11">
      <c r="A735" s="7" t="str">
        <f t="shared" si="12"/>
        <v/>
      </c>
      <c r="K735" s="39"/>
    </row>
    <row r="736" spans="1:11">
      <c r="A736" s="7" t="str">
        <f t="shared" si="12"/>
        <v/>
      </c>
      <c r="K736" s="39"/>
    </row>
    <row r="737" spans="1:11">
      <c r="A737" s="7" t="str">
        <f t="shared" si="12"/>
        <v/>
      </c>
      <c r="K737" s="39"/>
    </row>
    <row r="738" spans="1:11">
      <c r="A738" s="7" t="str">
        <f t="shared" si="12"/>
        <v/>
      </c>
      <c r="K738" s="39"/>
    </row>
    <row r="739" spans="1:11">
      <c r="A739" s="7" t="str">
        <f t="shared" si="12"/>
        <v/>
      </c>
      <c r="K739" s="39"/>
    </row>
    <row r="740" spans="1:11">
      <c r="A740" s="7" t="str">
        <f t="shared" si="12"/>
        <v/>
      </c>
      <c r="K740" s="39"/>
    </row>
    <row r="741" spans="1:11">
      <c r="A741" s="7" t="str">
        <f t="shared" si="12"/>
        <v/>
      </c>
      <c r="K741" s="39"/>
    </row>
    <row r="742" spans="1:11">
      <c r="A742" s="7" t="str">
        <f t="shared" si="12"/>
        <v/>
      </c>
      <c r="K742" s="39"/>
    </row>
    <row r="743" spans="1:11">
      <c r="A743" s="7" t="str">
        <f t="shared" si="12"/>
        <v/>
      </c>
      <c r="K743" s="39"/>
    </row>
    <row r="744" spans="1:11">
      <c r="A744" s="7" t="str">
        <f t="shared" si="12"/>
        <v/>
      </c>
      <c r="K744" s="39"/>
    </row>
    <row r="745" spans="1:11">
      <c r="A745" s="7" t="str">
        <f t="shared" si="12"/>
        <v/>
      </c>
      <c r="K745" s="39"/>
    </row>
    <row r="746" spans="1:11">
      <c r="A746" s="7" t="str">
        <f t="shared" si="12"/>
        <v/>
      </c>
      <c r="K746" s="39"/>
    </row>
    <row r="747" spans="1:11">
      <c r="A747" s="7" t="str">
        <f t="shared" si="12"/>
        <v/>
      </c>
      <c r="K747" s="39"/>
    </row>
    <row r="748" spans="1:11">
      <c r="A748" s="7" t="str">
        <f t="shared" si="12"/>
        <v/>
      </c>
      <c r="K748" s="39"/>
    </row>
    <row r="749" spans="1:11">
      <c r="A749" s="7" t="str">
        <f t="shared" si="12"/>
        <v/>
      </c>
      <c r="K749" s="39"/>
    </row>
    <row r="750" spans="1:11">
      <c r="A750" s="7" t="str">
        <f t="shared" si="12"/>
        <v/>
      </c>
      <c r="K750" s="39"/>
    </row>
    <row r="751" spans="1:11">
      <c r="A751" s="7" t="str">
        <f t="shared" si="12"/>
        <v/>
      </c>
      <c r="K751" s="39"/>
    </row>
    <row r="752" spans="1:11">
      <c r="A752" s="7" t="str">
        <f t="shared" si="12"/>
        <v/>
      </c>
      <c r="K752" s="39"/>
    </row>
    <row r="753" spans="1:11">
      <c r="A753" s="7" t="str">
        <f t="shared" si="12"/>
        <v/>
      </c>
      <c r="K753" s="39"/>
    </row>
    <row r="754" spans="1:11">
      <c r="A754" s="7" t="str">
        <f t="shared" si="12"/>
        <v/>
      </c>
      <c r="K754" s="39"/>
    </row>
    <row r="755" spans="1:11">
      <c r="A755" s="7" t="str">
        <f t="shared" si="12"/>
        <v/>
      </c>
      <c r="K755" s="39"/>
    </row>
    <row r="756" spans="1:11">
      <c r="A756" s="7" t="str">
        <f t="shared" si="12"/>
        <v/>
      </c>
      <c r="K756" s="39"/>
    </row>
    <row r="757" spans="1:11">
      <c r="A757" s="7" t="str">
        <f t="shared" si="12"/>
        <v/>
      </c>
      <c r="K757" s="39"/>
    </row>
    <row r="758" spans="1:11">
      <c r="A758" s="7" t="str">
        <f t="shared" si="12"/>
        <v/>
      </c>
      <c r="K758" s="39"/>
    </row>
    <row r="759" spans="1:11">
      <c r="A759" s="7" t="str">
        <f t="shared" si="12"/>
        <v/>
      </c>
      <c r="K759" s="39"/>
    </row>
    <row r="760" spans="1:11">
      <c r="A760" s="7" t="str">
        <f t="shared" si="12"/>
        <v/>
      </c>
    </row>
    <row r="761" spans="1:11">
      <c r="A761" s="7" t="str">
        <f t="shared" si="12"/>
        <v/>
      </c>
    </row>
    <row r="762" spans="1:11">
      <c r="A762" s="7" t="str">
        <f t="shared" si="12"/>
        <v/>
      </c>
    </row>
    <row r="763" spans="1:11">
      <c r="A763" s="7" t="str">
        <f t="shared" si="12"/>
        <v/>
      </c>
    </row>
    <row r="764" spans="1:11">
      <c r="A764" s="7" t="str">
        <f t="shared" si="12"/>
        <v/>
      </c>
    </row>
    <row r="765" spans="1:11">
      <c r="A765" s="7" t="str">
        <f t="shared" si="12"/>
        <v/>
      </c>
    </row>
    <row r="766" spans="1:11">
      <c r="A766" s="7" t="str">
        <f t="shared" si="12"/>
        <v/>
      </c>
    </row>
    <row r="767" spans="1:11">
      <c r="A767" s="7" t="str">
        <f t="shared" si="12"/>
        <v/>
      </c>
    </row>
    <row r="768" spans="1:11">
      <c r="A768" s="7" t="str">
        <f t="shared" si="12"/>
        <v/>
      </c>
    </row>
    <row r="769" spans="1:1">
      <c r="A769" s="7" t="str">
        <f t="shared" si="12"/>
        <v/>
      </c>
    </row>
    <row r="770" spans="1:1">
      <c r="A770" s="7" t="str">
        <f t="shared" si="12"/>
        <v/>
      </c>
    </row>
    <row r="771" spans="1:1">
      <c r="A771" s="7" t="str">
        <f t="shared" ref="A771:A834" si="13">IF(B771="","",(ROW(B771)-1))</f>
        <v/>
      </c>
    </row>
    <row r="772" spans="1:1">
      <c r="A772" s="7" t="str">
        <f t="shared" si="13"/>
        <v/>
      </c>
    </row>
    <row r="773" spans="1:1">
      <c r="A773" s="7" t="str">
        <f t="shared" si="13"/>
        <v/>
      </c>
    </row>
    <row r="774" spans="1:1">
      <c r="A774" s="7" t="str">
        <f t="shared" si="13"/>
        <v/>
      </c>
    </row>
    <row r="775" spans="1:1">
      <c r="A775" s="7" t="str">
        <f t="shared" si="13"/>
        <v/>
      </c>
    </row>
    <row r="776" spans="1:1">
      <c r="A776" s="7" t="str">
        <f t="shared" si="13"/>
        <v/>
      </c>
    </row>
    <row r="777" spans="1:1">
      <c r="A777" s="7" t="str">
        <f t="shared" si="13"/>
        <v/>
      </c>
    </row>
    <row r="778" spans="1:1">
      <c r="A778" s="7" t="str">
        <f t="shared" si="13"/>
        <v/>
      </c>
    </row>
    <row r="779" spans="1:1">
      <c r="A779" s="7" t="str">
        <f t="shared" si="13"/>
        <v/>
      </c>
    </row>
    <row r="780" spans="1:1">
      <c r="A780" s="7" t="str">
        <f t="shared" si="13"/>
        <v/>
      </c>
    </row>
    <row r="781" spans="1:1">
      <c r="A781" s="7" t="str">
        <f t="shared" si="13"/>
        <v/>
      </c>
    </row>
    <row r="782" spans="1:1">
      <c r="A782" s="7" t="str">
        <f t="shared" si="13"/>
        <v/>
      </c>
    </row>
    <row r="783" spans="1:1">
      <c r="A783" s="7" t="str">
        <f t="shared" si="13"/>
        <v/>
      </c>
    </row>
    <row r="784" spans="1:1">
      <c r="A784" s="7" t="str">
        <f t="shared" si="13"/>
        <v/>
      </c>
    </row>
    <row r="785" spans="1:1">
      <c r="A785" s="7" t="str">
        <f t="shared" si="13"/>
        <v/>
      </c>
    </row>
    <row r="786" spans="1:1">
      <c r="A786" s="7" t="str">
        <f t="shared" si="13"/>
        <v/>
      </c>
    </row>
    <row r="787" spans="1:1">
      <c r="A787" s="7" t="str">
        <f t="shared" si="13"/>
        <v/>
      </c>
    </row>
    <row r="788" spans="1:1">
      <c r="A788" s="7" t="str">
        <f t="shared" si="13"/>
        <v/>
      </c>
    </row>
    <row r="789" spans="1:1">
      <c r="A789" s="7" t="str">
        <f t="shared" si="13"/>
        <v/>
      </c>
    </row>
    <row r="790" spans="1:1">
      <c r="A790" s="7" t="str">
        <f t="shared" si="13"/>
        <v/>
      </c>
    </row>
    <row r="791" spans="1:1">
      <c r="A791" s="7" t="str">
        <f t="shared" si="13"/>
        <v/>
      </c>
    </row>
    <row r="792" spans="1:1">
      <c r="A792" s="7" t="str">
        <f t="shared" si="13"/>
        <v/>
      </c>
    </row>
    <row r="793" spans="1:1">
      <c r="A793" s="7" t="str">
        <f t="shared" si="13"/>
        <v/>
      </c>
    </row>
    <row r="794" spans="1:1">
      <c r="A794" s="7" t="str">
        <f t="shared" si="13"/>
        <v/>
      </c>
    </row>
    <row r="795" spans="1:1">
      <c r="A795" s="7" t="str">
        <f t="shared" si="13"/>
        <v/>
      </c>
    </row>
    <row r="796" spans="1:1">
      <c r="A796" s="7" t="str">
        <f t="shared" si="13"/>
        <v/>
      </c>
    </row>
    <row r="797" spans="1:1">
      <c r="A797" s="7" t="str">
        <f t="shared" si="13"/>
        <v/>
      </c>
    </row>
    <row r="798" spans="1:1">
      <c r="A798" s="7" t="str">
        <f t="shared" si="13"/>
        <v/>
      </c>
    </row>
    <row r="799" spans="1:1">
      <c r="A799" s="7" t="str">
        <f t="shared" si="13"/>
        <v/>
      </c>
    </row>
    <row r="800" spans="1:1">
      <c r="A800" s="7" t="str">
        <f t="shared" si="13"/>
        <v/>
      </c>
    </row>
    <row r="801" spans="1:1">
      <c r="A801" s="7" t="str">
        <f t="shared" si="13"/>
        <v/>
      </c>
    </row>
    <row r="802" spans="1:1">
      <c r="A802" s="7" t="str">
        <f t="shared" si="13"/>
        <v/>
      </c>
    </row>
    <row r="803" spans="1:1">
      <c r="A803" s="7" t="str">
        <f t="shared" si="13"/>
        <v/>
      </c>
    </row>
    <row r="804" spans="1:1">
      <c r="A804" s="7" t="str">
        <f t="shared" si="13"/>
        <v/>
      </c>
    </row>
    <row r="805" spans="1:1">
      <c r="A805" s="7" t="str">
        <f t="shared" si="13"/>
        <v/>
      </c>
    </row>
    <row r="806" spans="1:1">
      <c r="A806" s="7" t="str">
        <f t="shared" si="13"/>
        <v/>
      </c>
    </row>
    <row r="807" spans="1:1">
      <c r="A807" s="7" t="str">
        <f t="shared" si="13"/>
        <v/>
      </c>
    </row>
    <row r="808" spans="1:1">
      <c r="A808" s="7" t="str">
        <f t="shared" si="13"/>
        <v/>
      </c>
    </row>
    <row r="809" spans="1:1">
      <c r="A809" s="7" t="str">
        <f t="shared" si="13"/>
        <v/>
      </c>
    </row>
    <row r="810" spans="1:1">
      <c r="A810" s="7" t="str">
        <f t="shared" si="13"/>
        <v/>
      </c>
    </row>
    <row r="811" spans="1:1">
      <c r="A811" s="7" t="str">
        <f t="shared" si="13"/>
        <v/>
      </c>
    </row>
    <row r="812" spans="1:1">
      <c r="A812" s="7" t="str">
        <f t="shared" si="13"/>
        <v/>
      </c>
    </row>
    <row r="813" spans="1:1">
      <c r="A813" s="7" t="str">
        <f t="shared" si="13"/>
        <v/>
      </c>
    </row>
    <row r="814" spans="1:1">
      <c r="A814" s="7" t="str">
        <f t="shared" si="13"/>
        <v/>
      </c>
    </row>
    <row r="815" spans="1:1">
      <c r="A815" s="7" t="str">
        <f t="shared" si="13"/>
        <v/>
      </c>
    </row>
    <row r="816" spans="1:1">
      <c r="A816" s="7" t="str">
        <f t="shared" si="13"/>
        <v/>
      </c>
    </row>
    <row r="817" spans="1:1">
      <c r="A817" s="7" t="str">
        <f t="shared" si="13"/>
        <v/>
      </c>
    </row>
    <row r="818" spans="1:1">
      <c r="A818" s="7" t="str">
        <f t="shared" si="13"/>
        <v/>
      </c>
    </row>
    <row r="819" spans="1:1">
      <c r="A819" s="7" t="str">
        <f t="shared" si="13"/>
        <v/>
      </c>
    </row>
    <row r="820" spans="1:1">
      <c r="A820" s="7" t="str">
        <f t="shared" si="13"/>
        <v/>
      </c>
    </row>
    <row r="821" spans="1:1">
      <c r="A821" s="7" t="str">
        <f t="shared" si="13"/>
        <v/>
      </c>
    </row>
    <row r="822" spans="1:1">
      <c r="A822" s="7" t="str">
        <f t="shared" si="13"/>
        <v/>
      </c>
    </row>
    <row r="823" spans="1:1">
      <c r="A823" s="7" t="str">
        <f t="shared" si="13"/>
        <v/>
      </c>
    </row>
    <row r="824" spans="1:1">
      <c r="A824" s="7" t="str">
        <f t="shared" si="13"/>
        <v/>
      </c>
    </row>
    <row r="825" spans="1:1">
      <c r="A825" s="7" t="str">
        <f t="shared" si="13"/>
        <v/>
      </c>
    </row>
    <row r="826" spans="1:1">
      <c r="A826" s="7" t="str">
        <f t="shared" si="13"/>
        <v/>
      </c>
    </row>
    <row r="827" spans="1:1">
      <c r="A827" s="7" t="str">
        <f t="shared" si="13"/>
        <v/>
      </c>
    </row>
    <row r="828" spans="1:1">
      <c r="A828" s="7" t="str">
        <f t="shared" si="13"/>
        <v/>
      </c>
    </row>
    <row r="829" spans="1:1">
      <c r="A829" s="7" t="str">
        <f t="shared" si="13"/>
        <v/>
      </c>
    </row>
    <row r="830" spans="1:1">
      <c r="A830" s="7" t="str">
        <f t="shared" si="13"/>
        <v/>
      </c>
    </row>
    <row r="831" spans="1:1">
      <c r="A831" s="7" t="str">
        <f t="shared" si="13"/>
        <v/>
      </c>
    </row>
    <row r="832" spans="1:1">
      <c r="A832" s="7" t="str">
        <f t="shared" si="13"/>
        <v/>
      </c>
    </row>
    <row r="833" spans="1:1">
      <c r="A833" s="7" t="str">
        <f t="shared" si="13"/>
        <v/>
      </c>
    </row>
    <row r="834" spans="1:1">
      <c r="A834" s="7" t="str">
        <f t="shared" si="13"/>
        <v/>
      </c>
    </row>
    <row r="835" spans="1:1">
      <c r="A835" s="7" t="str">
        <f t="shared" ref="A835:A898" si="14">IF(B835="","",(ROW(B835)-1))</f>
        <v/>
      </c>
    </row>
    <row r="836" spans="1:1">
      <c r="A836" s="7" t="str">
        <f t="shared" si="14"/>
        <v/>
      </c>
    </row>
    <row r="837" spans="1:1">
      <c r="A837" s="7" t="str">
        <f t="shared" si="14"/>
        <v/>
      </c>
    </row>
    <row r="838" spans="1:1">
      <c r="A838" s="7" t="str">
        <f t="shared" si="14"/>
        <v/>
      </c>
    </row>
    <row r="839" spans="1:1">
      <c r="A839" s="7" t="str">
        <f t="shared" si="14"/>
        <v/>
      </c>
    </row>
    <row r="840" spans="1:1">
      <c r="A840" s="7" t="str">
        <f t="shared" si="14"/>
        <v/>
      </c>
    </row>
    <row r="841" spans="1:1">
      <c r="A841" s="7" t="str">
        <f t="shared" si="14"/>
        <v/>
      </c>
    </row>
    <row r="842" spans="1:1">
      <c r="A842" s="7" t="str">
        <f t="shared" si="14"/>
        <v/>
      </c>
    </row>
    <row r="843" spans="1:1">
      <c r="A843" s="7" t="str">
        <f t="shared" si="14"/>
        <v/>
      </c>
    </row>
    <row r="844" spans="1:1">
      <c r="A844" s="7" t="str">
        <f t="shared" si="14"/>
        <v/>
      </c>
    </row>
    <row r="845" spans="1:1">
      <c r="A845" s="7" t="str">
        <f t="shared" si="14"/>
        <v/>
      </c>
    </row>
    <row r="846" spans="1:1">
      <c r="A846" s="7" t="str">
        <f t="shared" si="14"/>
        <v/>
      </c>
    </row>
    <row r="847" spans="1:1">
      <c r="A847" s="7" t="str">
        <f t="shared" si="14"/>
        <v/>
      </c>
    </row>
    <row r="848" spans="1:1">
      <c r="A848" s="7" t="str">
        <f t="shared" si="14"/>
        <v/>
      </c>
    </row>
    <row r="849" spans="1:1">
      <c r="A849" s="7" t="str">
        <f t="shared" si="14"/>
        <v/>
      </c>
    </row>
    <row r="850" spans="1:1">
      <c r="A850" s="7" t="str">
        <f t="shared" si="14"/>
        <v/>
      </c>
    </row>
    <row r="851" spans="1:1">
      <c r="A851" s="7" t="str">
        <f t="shared" si="14"/>
        <v/>
      </c>
    </row>
    <row r="852" spans="1:1">
      <c r="A852" s="7" t="str">
        <f t="shared" si="14"/>
        <v/>
      </c>
    </row>
    <row r="853" spans="1:1">
      <c r="A853" s="7" t="str">
        <f t="shared" si="14"/>
        <v/>
      </c>
    </row>
    <row r="854" spans="1:1">
      <c r="A854" s="7" t="str">
        <f t="shared" si="14"/>
        <v/>
      </c>
    </row>
    <row r="855" spans="1:1">
      <c r="A855" s="7" t="str">
        <f t="shared" si="14"/>
        <v/>
      </c>
    </row>
    <row r="856" spans="1:1">
      <c r="A856" s="7" t="str">
        <f t="shared" si="14"/>
        <v/>
      </c>
    </row>
    <row r="857" spans="1:1">
      <c r="A857" s="7" t="str">
        <f t="shared" si="14"/>
        <v/>
      </c>
    </row>
    <row r="858" spans="1:1">
      <c r="A858" s="7" t="str">
        <f t="shared" si="14"/>
        <v/>
      </c>
    </row>
    <row r="859" spans="1:1">
      <c r="A859" s="7" t="str">
        <f t="shared" si="14"/>
        <v/>
      </c>
    </row>
    <row r="860" spans="1:1">
      <c r="A860" s="7" t="str">
        <f t="shared" si="14"/>
        <v/>
      </c>
    </row>
    <row r="861" spans="1:1">
      <c r="A861" s="7" t="str">
        <f t="shared" si="14"/>
        <v/>
      </c>
    </row>
    <row r="862" spans="1:1">
      <c r="A862" s="7" t="str">
        <f t="shared" si="14"/>
        <v/>
      </c>
    </row>
    <row r="863" spans="1:1">
      <c r="A863" s="7" t="str">
        <f t="shared" si="14"/>
        <v/>
      </c>
    </row>
    <row r="864" spans="1:1">
      <c r="A864" s="7" t="str">
        <f t="shared" si="14"/>
        <v/>
      </c>
    </row>
    <row r="865" spans="1:1">
      <c r="A865" s="7" t="str">
        <f t="shared" si="14"/>
        <v/>
      </c>
    </row>
    <row r="866" spans="1:1">
      <c r="A866" s="7" t="str">
        <f t="shared" si="14"/>
        <v/>
      </c>
    </row>
    <row r="867" spans="1:1">
      <c r="A867" s="7" t="str">
        <f t="shared" si="14"/>
        <v/>
      </c>
    </row>
    <row r="868" spans="1:1">
      <c r="A868" s="7" t="str">
        <f t="shared" si="14"/>
        <v/>
      </c>
    </row>
    <row r="869" spans="1:1">
      <c r="A869" s="7" t="str">
        <f t="shared" si="14"/>
        <v/>
      </c>
    </row>
    <row r="870" spans="1:1">
      <c r="A870" s="7" t="str">
        <f t="shared" si="14"/>
        <v/>
      </c>
    </row>
    <row r="871" spans="1:1">
      <c r="A871" s="7" t="str">
        <f t="shared" si="14"/>
        <v/>
      </c>
    </row>
    <row r="872" spans="1:1">
      <c r="A872" s="7" t="str">
        <f t="shared" si="14"/>
        <v/>
      </c>
    </row>
    <row r="873" spans="1:1">
      <c r="A873" s="7" t="str">
        <f t="shared" si="14"/>
        <v/>
      </c>
    </row>
    <row r="874" spans="1:1">
      <c r="A874" s="7" t="str">
        <f t="shared" si="14"/>
        <v/>
      </c>
    </row>
    <row r="875" spans="1:1">
      <c r="A875" s="7" t="str">
        <f t="shared" si="14"/>
        <v/>
      </c>
    </row>
    <row r="876" spans="1:1">
      <c r="A876" s="7" t="str">
        <f t="shared" si="14"/>
        <v/>
      </c>
    </row>
    <row r="877" spans="1:1">
      <c r="A877" s="7" t="str">
        <f t="shared" si="14"/>
        <v/>
      </c>
    </row>
    <row r="878" spans="1:1">
      <c r="A878" s="7" t="str">
        <f t="shared" si="14"/>
        <v/>
      </c>
    </row>
    <row r="879" spans="1:1">
      <c r="A879" s="7" t="str">
        <f t="shared" si="14"/>
        <v/>
      </c>
    </row>
    <row r="880" spans="1:1">
      <c r="A880" s="7" t="str">
        <f t="shared" si="14"/>
        <v/>
      </c>
    </row>
    <row r="881" spans="1:1">
      <c r="A881" s="7" t="str">
        <f t="shared" si="14"/>
        <v/>
      </c>
    </row>
    <row r="882" spans="1:1">
      <c r="A882" s="7" t="str">
        <f t="shared" si="14"/>
        <v/>
      </c>
    </row>
    <row r="883" spans="1:1">
      <c r="A883" s="7" t="str">
        <f t="shared" si="14"/>
        <v/>
      </c>
    </row>
    <row r="884" spans="1:1">
      <c r="A884" s="7" t="str">
        <f t="shared" si="14"/>
        <v/>
      </c>
    </row>
    <row r="885" spans="1:1">
      <c r="A885" s="7" t="str">
        <f t="shared" si="14"/>
        <v/>
      </c>
    </row>
    <row r="886" spans="1:1">
      <c r="A886" s="7" t="str">
        <f t="shared" si="14"/>
        <v/>
      </c>
    </row>
    <row r="887" spans="1:1">
      <c r="A887" s="7" t="str">
        <f t="shared" si="14"/>
        <v/>
      </c>
    </row>
    <row r="888" spans="1:1">
      <c r="A888" s="7" t="str">
        <f t="shared" si="14"/>
        <v/>
      </c>
    </row>
    <row r="889" spans="1:1">
      <c r="A889" s="7" t="str">
        <f t="shared" si="14"/>
        <v/>
      </c>
    </row>
    <row r="890" spans="1:1">
      <c r="A890" s="7" t="str">
        <f t="shared" si="14"/>
        <v/>
      </c>
    </row>
    <row r="891" spans="1:1">
      <c r="A891" s="7" t="str">
        <f t="shared" si="14"/>
        <v/>
      </c>
    </row>
    <row r="892" spans="1:1">
      <c r="A892" s="7" t="str">
        <f t="shared" si="14"/>
        <v/>
      </c>
    </row>
    <row r="893" spans="1:1">
      <c r="A893" s="7" t="str">
        <f t="shared" si="14"/>
        <v/>
      </c>
    </row>
    <row r="894" spans="1:1">
      <c r="A894" s="7" t="str">
        <f t="shared" si="14"/>
        <v/>
      </c>
    </row>
    <row r="895" spans="1:1">
      <c r="A895" s="7" t="str">
        <f t="shared" si="14"/>
        <v/>
      </c>
    </row>
    <row r="896" spans="1:1">
      <c r="A896" s="7" t="str">
        <f t="shared" si="14"/>
        <v/>
      </c>
    </row>
    <row r="897" spans="1:1">
      <c r="A897" s="7" t="str">
        <f t="shared" si="14"/>
        <v/>
      </c>
    </row>
    <row r="898" spans="1:1">
      <c r="A898" s="7" t="str">
        <f t="shared" si="14"/>
        <v/>
      </c>
    </row>
    <row r="899" spans="1:1">
      <c r="A899" s="7" t="str">
        <f t="shared" ref="A899:A962" si="15">IF(B899="","",(ROW(B899)-1))</f>
        <v/>
      </c>
    </row>
    <row r="900" spans="1:1">
      <c r="A900" s="7" t="str">
        <f t="shared" si="15"/>
        <v/>
      </c>
    </row>
    <row r="901" spans="1:1">
      <c r="A901" s="7" t="str">
        <f t="shared" si="15"/>
        <v/>
      </c>
    </row>
    <row r="902" spans="1:1">
      <c r="A902" s="7" t="str">
        <f t="shared" si="15"/>
        <v/>
      </c>
    </row>
    <row r="903" spans="1:1">
      <c r="A903" s="7" t="str">
        <f t="shared" si="15"/>
        <v/>
      </c>
    </row>
    <row r="904" spans="1:1">
      <c r="A904" s="7" t="str">
        <f t="shared" si="15"/>
        <v/>
      </c>
    </row>
    <row r="905" spans="1:1">
      <c r="A905" s="7" t="str">
        <f t="shared" si="15"/>
        <v/>
      </c>
    </row>
    <row r="906" spans="1:1">
      <c r="A906" s="7" t="str">
        <f t="shared" si="15"/>
        <v/>
      </c>
    </row>
    <row r="907" spans="1:1">
      <c r="A907" s="7" t="str">
        <f t="shared" si="15"/>
        <v/>
      </c>
    </row>
    <row r="908" spans="1:1">
      <c r="A908" s="7" t="str">
        <f t="shared" si="15"/>
        <v/>
      </c>
    </row>
    <row r="909" spans="1:1">
      <c r="A909" s="7" t="str">
        <f t="shared" si="15"/>
        <v/>
      </c>
    </row>
    <row r="910" spans="1:1">
      <c r="A910" s="7" t="str">
        <f t="shared" si="15"/>
        <v/>
      </c>
    </row>
    <row r="911" spans="1:1">
      <c r="A911" s="7" t="str">
        <f t="shared" si="15"/>
        <v/>
      </c>
    </row>
    <row r="912" spans="1:1">
      <c r="A912" s="7" t="str">
        <f t="shared" si="15"/>
        <v/>
      </c>
    </row>
    <row r="913" spans="1:1">
      <c r="A913" s="7" t="str">
        <f t="shared" si="15"/>
        <v/>
      </c>
    </row>
    <row r="914" spans="1:1">
      <c r="A914" s="7" t="str">
        <f t="shared" si="15"/>
        <v/>
      </c>
    </row>
    <row r="915" spans="1:1">
      <c r="A915" s="7" t="str">
        <f t="shared" si="15"/>
        <v/>
      </c>
    </row>
    <row r="916" spans="1:1">
      <c r="A916" s="7" t="str">
        <f t="shared" si="15"/>
        <v/>
      </c>
    </row>
    <row r="917" spans="1:1">
      <c r="A917" s="7" t="str">
        <f t="shared" si="15"/>
        <v/>
      </c>
    </row>
    <row r="918" spans="1:1">
      <c r="A918" s="7" t="str">
        <f t="shared" si="15"/>
        <v/>
      </c>
    </row>
    <row r="919" spans="1:1">
      <c r="A919" s="7" t="str">
        <f t="shared" si="15"/>
        <v/>
      </c>
    </row>
    <row r="920" spans="1:1">
      <c r="A920" s="7" t="str">
        <f t="shared" si="15"/>
        <v/>
      </c>
    </row>
    <row r="921" spans="1:1">
      <c r="A921" s="7" t="str">
        <f t="shared" si="15"/>
        <v/>
      </c>
    </row>
    <row r="922" spans="1:1">
      <c r="A922" s="7" t="str">
        <f t="shared" si="15"/>
        <v/>
      </c>
    </row>
    <row r="923" spans="1:1">
      <c r="A923" s="7" t="str">
        <f t="shared" si="15"/>
        <v/>
      </c>
    </row>
    <row r="924" spans="1:1">
      <c r="A924" s="7" t="str">
        <f t="shared" si="15"/>
        <v/>
      </c>
    </row>
    <row r="925" spans="1:1">
      <c r="A925" s="7" t="str">
        <f t="shared" si="15"/>
        <v/>
      </c>
    </row>
    <row r="926" spans="1:1">
      <c r="A926" s="7" t="str">
        <f t="shared" si="15"/>
        <v/>
      </c>
    </row>
    <row r="927" spans="1:1">
      <c r="A927" s="7" t="str">
        <f t="shared" si="15"/>
        <v/>
      </c>
    </row>
    <row r="928" spans="1:1">
      <c r="A928" s="7" t="str">
        <f t="shared" si="15"/>
        <v/>
      </c>
    </row>
    <row r="929" spans="1:1">
      <c r="A929" s="7" t="str">
        <f t="shared" si="15"/>
        <v/>
      </c>
    </row>
    <row r="930" spans="1:1">
      <c r="A930" s="7" t="str">
        <f t="shared" si="15"/>
        <v/>
      </c>
    </row>
    <row r="931" spans="1:1">
      <c r="A931" s="7" t="str">
        <f t="shared" si="15"/>
        <v/>
      </c>
    </row>
    <row r="932" spans="1:1">
      <c r="A932" s="7" t="str">
        <f t="shared" si="15"/>
        <v/>
      </c>
    </row>
    <row r="933" spans="1:1">
      <c r="A933" s="7" t="str">
        <f t="shared" si="15"/>
        <v/>
      </c>
    </row>
    <row r="934" spans="1:1">
      <c r="A934" s="7" t="str">
        <f t="shared" si="15"/>
        <v/>
      </c>
    </row>
    <row r="935" spans="1:1">
      <c r="A935" s="7" t="str">
        <f t="shared" si="15"/>
        <v/>
      </c>
    </row>
    <row r="936" spans="1:1">
      <c r="A936" s="7" t="str">
        <f t="shared" si="15"/>
        <v/>
      </c>
    </row>
    <row r="937" spans="1:1">
      <c r="A937" s="7" t="str">
        <f t="shared" si="15"/>
        <v/>
      </c>
    </row>
    <row r="938" spans="1:1">
      <c r="A938" s="7" t="str">
        <f t="shared" si="15"/>
        <v/>
      </c>
    </row>
    <row r="939" spans="1:1">
      <c r="A939" s="7" t="str">
        <f t="shared" si="15"/>
        <v/>
      </c>
    </row>
    <row r="940" spans="1:1">
      <c r="A940" s="7" t="str">
        <f t="shared" si="15"/>
        <v/>
      </c>
    </row>
    <row r="941" spans="1:1">
      <c r="A941" s="7" t="str">
        <f t="shared" si="15"/>
        <v/>
      </c>
    </row>
    <row r="942" spans="1:1">
      <c r="A942" s="7" t="str">
        <f t="shared" si="15"/>
        <v/>
      </c>
    </row>
    <row r="943" spans="1:1">
      <c r="A943" s="7" t="str">
        <f t="shared" si="15"/>
        <v/>
      </c>
    </row>
    <row r="944" spans="1:1">
      <c r="A944" s="7" t="str">
        <f t="shared" si="15"/>
        <v/>
      </c>
    </row>
    <row r="945" spans="1:1">
      <c r="A945" s="7" t="str">
        <f t="shared" si="15"/>
        <v/>
      </c>
    </row>
    <row r="946" spans="1:1">
      <c r="A946" s="7" t="str">
        <f t="shared" si="15"/>
        <v/>
      </c>
    </row>
    <row r="947" spans="1:1">
      <c r="A947" s="7" t="str">
        <f t="shared" si="15"/>
        <v/>
      </c>
    </row>
    <row r="948" spans="1:1">
      <c r="A948" s="7" t="str">
        <f t="shared" si="15"/>
        <v/>
      </c>
    </row>
    <row r="949" spans="1:1">
      <c r="A949" s="7" t="str">
        <f t="shared" si="15"/>
        <v/>
      </c>
    </row>
    <row r="950" spans="1:1">
      <c r="A950" s="7" t="str">
        <f t="shared" si="15"/>
        <v/>
      </c>
    </row>
    <row r="951" spans="1:1">
      <c r="A951" s="7" t="str">
        <f t="shared" si="15"/>
        <v/>
      </c>
    </row>
    <row r="952" spans="1:1">
      <c r="A952" s="7" t="str">
        <f t="shared" si="15"/>
        <v/>
      </c>
    </row>
    <row r="953" spans="1:1">
      <c r="A953" s="7" t="str">
        <f t="shared" si="15"/>
        <v/>
      </c>
    </row>
    <row r="954" spans="1:1">
      <c r="A954" s="7" t="str">
        <f t="shared" si="15"/>
        <v/>
      </c>
    </row>
    <row r="955" spans="1:1">
      <c r="A955" s="7" t="str">
        <f t="shared" si="15"/>
        <v/>
      </c>
    </row>
    <row r="956" spans="1:1">
      <c r="A956" s="7" t="str">
        <f t="shared" si="15"/>
        <v/>
      </c>
    </row>
    <row r="957" spans="1:1">
      <c r="A957" s="7" t="str">
        <f t="shared" si="15"/>
        <v/>
      </c>
    </row>
    <row r="958" spans="1:1">
      <c r="A958" s="7" t="str">
        <f t="shared" si="15"/>
        <v/>
      </c>
    </row>
    <row r="959" spans="1:1">
      <c r="A959" s="7" t="str">
        <f t="shared" si="15"/>
        <v/>
      </c>
    </row>
    <row r="960" spans="1:1">
      <c r="A960" s="7" t="str">
        <f t="shared" si="15"/>
        <v/>
      </c>
    </row>
    <row r="961" spans="1:1">
      <c r="A961" s="7" t="str">
        <f t="shared" si="15"/>
        <v/>
      </c>
    </row>
    <row r="962" spans="1:1">
      <c r="A962" s="7" t="str">
        <f t="shared" si="15"/>
        <v/>
      </c>
    </row>
    <row r="963" spans="1:1">
      <c r="A963" s="7" t="str">
        <f t="shared" ref="A963:A1000" si="16">IF(B963="","",(ROW(B963)-1))</f>
        <v/>
      </c>
    </row>
    <row r="964" spans="1:1">
      <c r="A964" s="7" t="str">
        <f t="shared" si="16"/>
        <v/>
      </c>
    </row>
    <row r="965" spans="1:1">
      <c r="A965" s="7" t="str">
        <f t="shared" si="16"/>
        <v/>
      </c>
    </row>
    <row r="966" spans="1:1">
      <c r="A966" s="7" t="str">
        <f t="shared" si="16"/>
        <v/>
      </c>
    </row>
    <row r="967" spans="1:1">
      <c r="A967" s="7" t="str">
        <f t="shared" si="16"/>
        <v/>
      </c>
    </row>
    <row r="968" spans="1:1">
      <c r="A968" s="7" t="str">
        <f t="shared" si="16"/>
        <v/>
      </c>
    </row>
    <row r="969" spans="1:1">
      <c r="A969" s="7" t="str">
        <f t="shared" si="16"/>
        <v/>
      </c>
    </row>
    <row r="970" spans="1:1">
      <c r="A970" s="7" t="str">
        <f t="shared" si="16"/>
        <v/>
      </c>
    </row>
    <row r="971" spans="1:1">
      <c r="A971" s="7" t="str">
        <f t="shared" si="16"/>
        <v/>
      </c>
    </row>
    <row r="972" spans="1:1">
      <c r="A972" s="7" t="str">
        <f t="shared" si="16"/>
        <v/>
      </c>
    </row>
    <row r="973" spans="1:1">
      <c r="A973" s="7" t="str">
        <f t="shared" si="16"/>
        <v/>
      </c>
    </row>
    <row r="974" spans="1:1">
      <c r="A974" s="7" t="str">
        <f t="shared" si="16"/>
        <v/>
      </c>
    </row>
    <row r="975" spans="1:1">
      <c r="A975" s="7" t="str">
        <f t="shared" si="16"/>
        <v/>
      </c>
    </row>
    <row r="976" spans="1:1">
      <c r="A976" s="7" t="str">
        <f t="shared" si="16"/>
        <v/>
      </c>
    </row>
    <row r="977" spans="1:1">
      <c r="A977" s="7" t="str">
        <f t="shared" si="16"/>
        <v/>
      </c>
    </row>
    <row r="978" spans="1:1">
      <c r="A978" s="7" t="str">
        <f t="shared" si="16"/>
        <v/>
      </c>
    </row>
    <row r="979" spans="1:1">
      <c r="A979" s="7" t="str">
        <f t="shared" si="16"/>
        <v/>
      </c>
    </row>
    <row r="980" spans="1:1">
      <c r="A980" s="7" t="str">
        <f t="shared" si="16"/>
        <v/>
      </c>
    </row>
    <row r="981" spans="1:1">
      <c r="A981" s="7" t="str">
        <f t="shared" si="16"/>
        <v/>
      </c>
    </row>
    <row r="982" spans="1:1">
      <c r="A982" s="7" t="str">
        <f t="shared" si="16"/>
        <v/>
      </c>
    </row>
    <row r="983" spans="1:1">
      <c r="A983" s="7" t="str">
        <f t="shared" si="16"/>
        <v/>
      </c>
    </row>
    <row r="984" spans="1:1">
      <c r="A984" s="7" t="str">
        <f t="shared" si="16"/>
        <v/>
      </c>
    </row>
    <row r="985" spans="1:1">
      <c r="A985" s="7" t="str">
        <f t="shared" si="16"/>
        <v/>
      </c>
    </row>
    <row r="986" spans="1:1">
      <c r="A986" s="7" t="str">
        <f t="shared" si="16"/>
        <v/>
      </c>
    </row>
    <row r="987" spans="1:1">
      <c r="A987" s="7" t="str">
        <f t="shared" si="16"/>
        <v/>
      </c>
    </row>
    <row r="988" spans="1:1">
      <c r="A988" s="7" t="str">
        <f t="shared" si="16"/>
        <v/>
      </c>
    </row>
    <row r="989" spans="1:1">
      <c r="A989" s="7" t="str">
        <f t="shared" si="16"/>
        <v/>
      </c>
    </row>
    <row r="990" spans="1:1">
      <c r="A990" s="7" t="str">
        <f t="shared" si="16"/>
        <v/>
      </c>
    </row>
    <row r="991" spans="1:1">
      <c r="A991" s="7" t="str">
        <f t="shared" si="16"/>
        <v/>
      </c>
    </row>
    <row r="992" spans="1:1">
      <c r="A992" s="7" t="str">
        <f t="shared" si="16"/>
        <v/>
      </c>
    </row>
    <row r="993" spans="1:1">
      <c r="A993" s="7" t="str">
        <f t="shared" si="16"/>
        <v/>
      </c>
    </row>
    <row r="994" spans="1:1">
      <c r="A994" s="7" t="str">
        <f t="shared" si="16"/>
        <v/>
      </c>
    </row>
    <row r="995" spans="1:1">
      <c r="A995" s="7" t="str">
        <f t="shared" si="16"/>
        <v/>
      </c>
    </row>
    <row r="996" spans="1:1">
      <c r="A996" s="7" t="str">
        <f t="shared" si="16"/>
        <v/>
      </c>
    </row>
    <row r="997" spans="1:1">
      <c r="A997" s="7" t="str">
        <f t="shared" si="16"/>
        <v/>
      </c>
    </row>
    <row r="998" spans="1:1">
      <c r="A998" s="7" t="str">
        <f t="shared" si="16"/>
        <v/>
      </c>
    </row>
    <row r="999" spans="1:1">
      <c r="A999" s="7" t="str">
        <f t="shared" si="16"/>
        <v/>
      </c>
    </row>
    <row r="1000" spans="1:1">
      <c r="A1000" s="7" t="str">
        <f t="shared" si="16"/>
        <v/>
      </c>
    </row>
  </sheetData>
  <hyperlinks>
    <hyperlink ref="K5" r:id="rId1" display="https://www.mef.gob.pe/es/reporte-de-subastas-de-titulos-del-tesoro" xr:uid="{00000000-0004-0000-1100-000000000000}"/>
    <hyperlink ref="K6" r:id="rId2" display="https://www.mef.gob.pe/es/informes-y-reportes/234-deuda-publica/informes-y-reportes/4385--evolucion-de-los-indices-del-tesoro" xr:uid="{00000000-0004-0000-1100-000001000000}"/>
    <hyperlink ref="K7" r:id="rId3" display="https://www.mef.gob.pe/es/informes-y-reportes/234-deuda-publica/informes-y-reportes/4385--evolucion-de-los-indices-del-tesoro" xr:uid="{00000000-0004-0000-1100-000002000000}"/>
    <hyperlink ref="K8" r:id="rId4" display="https://www.mef.gob.pe/es/informes-y-reportes/234-deuda-publica/informes-y-reportes/4385--evolucion-de-los-indices-del-tesoro" xr:uid="{00000000-0004-0000-1100-000003000000}"/>
    <hyperlink ref="K9" r:id="rId5" display="https://www.mef.gob.pe/es/informes-y-reportes/234-deuda-publica/informes-y-reportes/4385--evolucion-de-los-indices-del-tesoro" xr:uid="{00000000-0004-0000-1100-000004000000}"/>
    <hyperlink ref="K13" r:id="rId6" display="https://www.mef.gob.pe/es/ranking-de-los-bancos-creadores-de-mercado" xr:uid="{00000000-0004-0000-1100-000005000000}"/>
    <hyperlink ref="K14" r:id="rId7" display="https://www.mef.gob.pe/es/reportes-de-los-creadores-de-mercado" xr:uid="{00000000-0004-0000-1100-000006000000}"/>
    <hyperlink ref="K15" r:id="rId8" display="https://www.mef.gob.pe/es/reporte-mensual-de-bonos-soberanos" xr:uid="{00000000-0004-0000-1100-000007000000}"/>
    <hyperlink ref="K16" r:id="rId9" display="http://www.mef.gob.pe/index.php?option=com_wrapper&amp;view=wrapper&amp;Itemid=102066&amp;lang=es" xr:uid="{00000000-0004-0000-1100-000008000000}"/>
    <hyperlink ref="K17" r:id="rId10" display="https://www.mef.gob.pe/es/reporte-de-tenencias-de-bonos-soberanos" xr:uid="{00000000-0004-0000-1100-000009000000}"/>
    <hyperlink ref="K18" r:id="rId11" display="https://www.mef.gob.pe/es/reporte-de-tenencias-de-letras-del-tesoro" xr:uid="{00000000-0004-0000-1100-00000A000000}"/>
    <hyperlink ref="K10" r:id="rId12" xr:uid="{00000000-0004-0000-1100-00000B000000}"/>
    <hyperlink ref="K11" r:id="rId13" xr:uid="{00000000-0004-0000-1100-00000C000000}"/>
    <hyperlink ref="K12" r:id="rId14" xr:uid="{00000000-0004-0000-1100-00000D000000}"/>
    <hyperlink ref="K4" r:id="rId15" display="https://www.mef.gob.pe/es/boletin-diario-de-mercado" xr:uid="{00000000-0004-0000-1100-00000E000000}"/>
    <hyperlink ref="K2" r:id="rId16" display="https://www.mef.gob.pe/es/reporte-de-indicadores-financieros-y-economicos" xr:uid="{00000000-0004-0000-1100-00000F000000}"/>
    <hyperlink ref="K3" r:id="rId17" display="https://www.mef.gob.pe/es/reporte-diario" xr:uid="{00000000-0004-0000-1100-000010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B5"/>
  <sheetViews>
    <sheetView workbookViewId="0">
      <selection activeCell="G24" sqref="G24"/>
    </sheetView>
  </sheetViews>
  <sheetFormatPr defaultColWidth="11.07421875" defaultRowHeight="14.6"/>
  <sheetData>
    <row r="1" spans="1:2">
      <c r="A1" t="s">
        <v>93</v>
      </c>
    </row>
    <row r="2" spans="1:2">
      <c r="A2" s="59" t="s">
        <v>166</v>
      </c>
      <c r="B2" s="59" t="s">
        <v>166</v>
      </c>
    </row>
    <row r="3" spans="1:2">
      <c r="A3" s="59" t="s">
        <v>166</v>
      </c>
      <c r="B3" s="59" t="s">
        <v>166</v>
      </c>
    </row>
    <row r="4" spans="1:2">
      <c r="A4">
        <v>0</v>
      </c>
      <c r="B4">
        <v>0</v>
      </c>
    </row>
    <row r="5" spans="1:2">
      <c r="A5" t="s">
        <v>176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6"/>
  <dimension ref="A4"/>
  <sheetViews>
    <sheetView workbookViewId="0">
      <selection activeCell="E9" sqref="E9"/>
    </sheetView>
  </sheetViews>
  <sheetFormatPr defaultColWidth="11.3828125" defaultRowHeight="14.6"/>
  <cols>
    <col min="1" max="5" width="11.3828125" style="1" customWidth="1"/>
    <col min="6" max="16384" width="11.3828125" style="1"/>
  </cols>
  <sheetData>
    <row r="4" s="3" customFormat="1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4"/>
  <dimension ref="A1"/>
  <sheetViews>
    <sheetView workbookViewId="0">
      <selection activeCell="F17" sqref="F17"/>
    </sheetView>
  </sheetViews>
  <sheetFormatPr defaultColWidth="11.07421875" defaultRowHeight="14.6"/>
  <cols>
    <col min="1" max="1" width="18.15234375" bestFit="1" customWidth="1"/>
    <col min="2" max="2" width="11.15234375" bestFit="1" customWidth="1"/>
    <col min="3" max="3" width="18.15234375" bestFit="1" customWidth="1"/>
    <col min="4" max="4" width="11.69140625" bestFit="1" customWidth="1"/>
  </cols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7"/>
  <dimension ref="A1:A2"/>
  <sheetViews>
    <sheetView workbookViewId="0">
      <selection activeCell="H14" sqref="H14"/>
    </sheetView>
  </sheetViews>
  <sheetFormatPr defaultColWidth="11.07421875" defaultRowHeight="14.6"/>
  <cols>
    <col min="1" max="1" width="12.53515625" bestFit="1" customWidth="1"/>
  </cols>
  <sheetData>
    <row r="1" spans="1:1">
      <c r="A1" t="s">
        <v>179</v>
      </c>
    </row>
    <row r="2" spans="1:1">
      <c r="A2">
        <f ca="1">WEEKDAY(TODAY())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start</vt:lpstr>
      <vt:lpstr>Welcome_admin</vt:lpstr>
      <vt:lpstr>Welcome</vt:lpstr>
      <vt:lpstr>reports</vt:lpstr>
      <vt:lpstr>correos</vt:lpstr>
      <vt:lpstr>subastas</vt:lpstr>
      <vt:lpstr>Internacionales</vt:lpstr>
      <vt:lpstr>Letras</vt:lpstr>
      <vt:lpstr>status</vt:lpstr>
      <vt:lpstr>Bonos</vt:lpstr>
      <vt:lpstr>survey_ES_2</vt:lpstr>
      <vt:lpstr>survey_EN_2</vt:lpstr>
      <vt:lpstr>eggap</vt:lpstr>
      <vt:lpstr>ratings</vt:lpstr>
      <vt:lpstr>ratings_data</vt:lpstr>
      <vt:lpstr>reportes</vt:lpstr>
      <vt:lpstr>letras_results</vt:lpstr>
      <vt:lpstr>bonos_data</vt:lpstr>
      <vt:lpstr>users</vt:lpstr>
      <vt:lpstr>reglogin</vt:lpstr>
      <vt:lpstr>start_display</vt:lpstr>
      <vt:lpstr>start_range</vt:lpstr>
      <vt:lpstr>Welcome!welcome_admin_display</vt:lpstr>
      <vt:lpstr>welcome_admin_display</vt:lpstr>
      <vt:lpstr>Welcome!welcome_admin_screen</vt:lpstr>
      <vt:lpstr>welcome_admin_screen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pportocarrero</dc:creator>
  <cp:lastModifiedBy>Pedro Portocarrero</cp:lastModifiedBy>
  <cp:revision>14</cp:revision>
  <cp:lastPrinted>2017-02-20T15:18:14Z</cp:lastPrinted>
  <dcterms:created xsi:type="dcterms:W3CDTF">2016-12-12T22:36:55Z</dcterms:created>
  <dcterms:modified xsi:type="dcterms:W3CDTF">2022-10-14T22:55:07Z</dcterms:modified>
  <cp:version>3</cp:version>
</cp:coreProperties>
</file>